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Calculato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<sst xmlns="http://schemas.openxmlformats.org/spreadsheetml/2006/main" count="155" uniqueCount="115">
  <si>
    <t xml:space="preserve">AWS 1P Public Sector Symposiums - Pricing Model</t>
  </si>
  <si>
    <t xml:space="preserve">This workbook mirrors pricing.config.js in the aws-1p-symposiums-proposal site. Same roles, rates, hour formulas, modifiers, and tier presets.</t>
  </si>
  <si>
    <t xml:space="preserve">HOW TO USE</t>
  </si>
  <si>
    <t xml:space="preserve">Blue cells are inputs you can change. Black cells are formulas; do not overwrite them.</t>
  </si>
  <si>
    <t xml:space="preserve">Assumptions sheet: rates, base hours by writing depth, modifiers, and tier presets. Edit blue values and the Calculator updates.</t>
  </si>
  <si>
    <t xml:space="preserve">Calculator sheet: London, Ottawa, and Canberra pull their inputs from the tier presets (Lean / Signature / Premium). The Custom column is free-form.</t>
  </si>
  <si>
    <t xml:space="preserve">FEEDING CHANGES BACK TO THE SITE</t>
  </si>
  <si>
    <t xml:space="preserve">Every input on the Assumptions sheet lists its config key. To update the live site, change the matching value in pricing.config.js (or send this file back to Elliot and the config gets updated from it).</t>
  </si>
  <si>
    <t xml:space="preserve">THE MATH, PER DECK</t>
  </si>
  <si>
    <t xml:space="preserve">1. Writing depth sets absolute base hours per level.</t>
  </si>
  <si>
    <t xml:space="preserve">2. Modifiers add hours: slides above 20 add design time, each speaker adds speaker management, each edit round adds design and writing, each dry run adds PM and writing.</t>
  </si>
  <si>
    <t xml:space="preserve">3. Cost = sum of role hours x rates, plus flat on-site day rate x days.</t>
  </si>
  <si>
    <t xml:space="preserve">4. Headline prices round UP to the nearest $100. Program total = sum of the three rounded city prices.</t>
  </si>
  <si>
    <t xml:space="preserve">ALL NUMBERS ARE PLACEHOLDERS PENDING CONFIRMATION. Estimate, not a quote.</t>
  </si>
  <si>
    <t xml:space="preserve">Pricing Model Assumptions</t>
  </si>
  <si>
    <t xml:space="preserve">Blue = editable input. Black = calculated. Config key shows where each value lives in pricing.config.js. On-site days of 0 = no on-site support.</t>
  </si>
  <si>
    <t xml:space="preserve">Role rates</t>
  </si>
  <si>
    <t xml:space="preserve">Role</t>
  </si>
  <si>
    <t xml:space="preserve">Rate</t>
  </si>
  <si>
    <t xml:space="preserve">Unit</t>
  </si>
  <si>
    <t xml:space="preserve">Config key</t>
  </si>
  <si>
    <t xml:space="preserve">Content Strategy / Writing</t>
  </si>
  <si>
    <t xml:space="preserve">$/hr</t>
  </si>
  <si>
    <t xml:space="preserve">roles[writing].rate</t>
  </si>
  <si>
    <t xml:space="preserve">Speaker Management</t>
  </si>
  <si>
    <t xml:space="preserve">roles[speakerMgmt].rate</t>
  </si>
  <si>
    <t xml:space="preserve">Design</t>
  </si>
  <si>
    <t xml:space="preserve">roles[design].rate</t>
  </si>
  <si>
    <t xml:space="preserve">Design Direction</t>
  </si>
  <si>
    <t xml:space="preserve">roles[designDir].rate</t>
  </si>
  <si>
    <t xml:space="preserve">Project Management</t>
  </si>
  <si>
    <t xml:space="preserve">roles[pm].rate</t>
  </si>
  <si>
    <t xml:space="preserve">Quality Control</t>
  </si>
  <si>
    <t xml:space="preserve">roles[qc].rate</t>
  </si>
  <si>
    <t xml:space="preserve">On-Site Support (flat)</t>
  </si>
  <si>
    <t xml:space="preserve">$/day</t>
  </si>
  <si>
    <t xml:space="preserve">onSite.dayRate</t>
  </si>
  <si>
    <t xml:space="preserve">Round prices UP to nearest</t>
  </si>
  <si>
    <t xml:space="preserve">$</t>
  </si>
  <si>
    <t xml:space="preserve">roundUpTo</t>
  </si>
  <si>
    <t xml:space="preserve">Base hours per deck by writing depth</t>
  </si>
  <si>
    <t xml:space="preserve">Absolute base hours per deck for each level, matching depthLevels[].hours in the config.</t>
  </si>
  <si>
    <t xml:space="preserve">L1: Deck mods only</t>
  </si>
  <si>
    <t xml:space="preserve">L2: Scripting from framework</t>
  </si>
  <si>
    <t xml:space="preserve">L3: Full narrative + scripting</t>
  </si>
  <si>
    <t xml:space="preserve">depthLevels[].hours.writing</t>
  </si>
  <si>
    <t xml:space="preserve">depthLevels[].hours.speakerMgmt</t>
  </si>
  <si>
    <t xml:space="preserve">depthLevels[].hours.design</t>
  </si>
  <si>
    <t xml:space="preserve">depthLevels[].hours.designDir</t>
  </si>
  <si>
    <t xml:space="preserve">depthLevels[].hours.pm</t>
  </si>
  <si>
    <t xml:space="preserve">depthLevels[].hours.qc</t>
  </si>
  <si>
    <t xml:space="preserve">Modifiers (added on top of base hours)</t>
  </si>
  <si>
    <t xml:space="preserve">Modifier</t>
  </si>
  <si>
    <t xml:space="preserve">Value</t>
  </si>
  <si>
    <t xml:space="preserve">Slides included in base</t>
  </si>
  <si>
    <t xml:space="preserve">modifiers.slidesIncluded</t>
  </si>
  <si>
    <t xml:space="preserve">Design hours per extra slide</t>
  </si>
  <si>
    <t xml:space="preserve">modifiers.designHoursPerExtraSlide</t>
  </si>
  <si>
    <t xml:space="preserve">Speaker Mgmt hours per speaker</t>
  </si>
  <si>
    <t xml:space="preserve">modifiers.speakerMgmtHoursPerSpeaker</t>
  </si>
  <si>
    <t xml:space="preserve">Design hours per edit round</t>
  </si>
  <si>
    <t xml:space="preserve">modifiers.perEditRound.design</t>
  </si>
  <si>
    <t xml:space="preserve">Writing hours per edit round</t>
  </si>
  <si>
    <t xml:space="preserve">modifiers.perEditRound.writing</t>
  </si>
  <si>
    <t xml:space="preserve">PM hours per dry run</t>
  </si>
  <si>
    <t xml:space="preserve">modifiers.perDryRun.pm</t>
  </si>
  <si>
    <t xml:space="preserve">Writing hours per dry run</t>
  </si>
  <si>
    <t xml:space="preserve">modifiers.perDryRun.writing</t>
  </si>
  <si>
    <t xml:space="preserve">Tier presets</t>
  </si>
  <si>
    <t xml:space="preserve">On-site days of 0 means on-site support is off. Depth: 1 = Deck mods only, 2 = Scripting from framework, 3 = Full narrative + scripting.</t>
  </si>
  <si>
    <t xml:space="preserve">Tier</t>
  </si>
  <si>
    <t xml:space="preserve">Slides per deck</t>
  </si>
  <si>
    <t xml:space="preserve">Depth (1-3)</t>
  </si>
  <si>
    <t xml:space="preserve">Speakers</t>
  </si>
  <si>
    <t xml:space="preserve">Edit rounds</t>
  </si>
  <si>
    <t xml:space="preserve">Dry runs</t>
  </si>
  <si>
    <t xml:space="preserve">On-site days</t>
  </si>
  <si>
    <t xml:space="preserve">Lean</t>
  </si>
  <si>
    <t xml:space="preserve">tiers[lean].preset</t>
  </si>
  <si>
    <t xml:space="preserve">Signature</t>
  </si>
  <si>
    <t xml:space="preserve">tiers[signature].preset</t>
  </si>
  <si>
    <t xml:space="preserve">Premium</t>
  </si>
  <si>
    <t xml:space="preserve">tiers[premium].preset</t>
  </si>
  <si>
    <t xml:space="preserve">Symposium readiness and recommended starting service level</t>
  </si>
  <si>
    <t xml:space="preserve">Recommendations only. The client confirmed the events and their readiness; the tier mapping is our suggestion and changeable on the Calculator.</t>
  </si>
  <si>
    <t xml:space="preserve">Symposium</t>
  </si>
  <si>
    <t xml:space="preserve">Recommended tier</t>
  </si>
  <si>
    <t xml:space="preserve">Readiness (confirmed)</t>
  </si>
  <si>
    <t xml:space="preserve">London</t>
  </si>
  <si>
    <t xml:space="preserve">Content is already written</t>
  </si>
  <si>
    <t xml:space="preserve">symposiums[london].recommendedTier / .readiness</t>
  </si>
  <si>
    <t xml:space="preserve">Ottawa</t>
  </si>
  <si>
    <t xml:space="preserve">Owner in place; story still needs writing</t>
  </si>
  <si>
    <t xml:space="preserve">symposiums[ottawa].recommendedTier / .readiness</t>
  </si>
  <si>
    <t xml:space="preserve">Canberra</t>
  </si>
  <si>
    <t xml:space="preserve">Starting from scratch</t>
  </si>
  <si>
    <t xml:space="preserve">symposiums[canberra].recommendedTier / .readiness</t>
  </si>
  <si>
    <t xml:space="preserve">Per-Deck Pricing Calculator</t>
  </si>
  <si>
    <t xml:space="preserve">Tiers are service levels, not locations: any symposium can run at any tier. The blue tier name per city defaults to OUR recommended starting point (based on readiness) and is fully changeable. Custom column is free-form. Headline prices round UP to the nearest \$100; the breakdown shows exact math. Estimate, not a quote.</t>
  </si>
  <si>
    <t xml:space="preserve">Custom</t>
  </si>
  <si>
    <t xml:space="preserve">Writing depth (1-3)</t>
  </si>
  <si>
    <t xml:space="preserve">Depth level</t>
  </si>
  <si>
    <t xml:space="preserve">Speakers per keynote</t>
  </si>
  <si>
    <t xml:space="preserve">Rounds of edits</t>
  </si>
  <si>
    <t xml:space="preserve">Dry runs managed</t>
  </si>
  <si>
    <t xml:space="preserve">On-site days (0 = off)</t>
  </si>
  <si>
    <t xml:space="preserve">Hours by role</t>
  </si>
  <si>
    <t xml:space="preserve">Total role hours</t>
  </si>
  <si>
    <t xml:space="preserve">Cost by role</t>
  </si>
  <si>
    <t xml:space="preserve">Role subtotal</t>
  </si>
  <si>
    <t xml:space="preserve">On-site support (flat)</t>
  </si>
  <si>
    <t xml:space="preserve">Per-deck total (exact)</t>
  </si>
  <si>
    <t xml:space="preserve">Per-deck total (rounded up)</t>
  </si>
  <si>
    <t xml:space="preserve">Program total (London + Ottawa + Canberra, rounded)</t>
  </si>
  <si>
    <t xml:space="preserve">Custom column is a scratch scenario; it is not included in the program total.</t>
  </si>
</sst>
</file>

<file path=xl/styles.xml><?xml version="1.0" encoding="utf-8"?>
<styleSheet xmlns="http://schemas.openxmlformats.org/spreadsheetml/2006/main">
  <numFmts count="3">
    <numFmt numFmtId="164" formatCode="General"/>
    <numFmt numFmtId="165" formatCode="\$#,##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9"/>
      <color rgb="FF666666"/>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A1A1A"/>
        <bgColor rgb="FF333300"/>
      </patternFill>
    </fill>
    <fill>
      <patternFill patternType="solid">
        <fgColor rgb="FFF2F0E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0E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6.85" hidden="false" customHeight="false" outlineLevel="0" collapsed="false">
      <c r="A6" s="2" t="s">
        <v>4</v>
      </c>
    </row>
    <row r="7" customFormat="false" ht="26.8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6.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15" hidden="false" customHeight="false" outlineLevel="0" collapsed="false">
      <c r="A13" s="2" t="s">
        <v>9</v>
      </c>
    </row>
    <row r="14" customFormat="false" ht="26.8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7" min="5" style="0" width="12"/>
    <col collapsed="false" customWidth="true" hidden="false" outlineLevel="0" max="8" min="8" style="0" width="30"/>
  </cols>
  <sheetData>
    <row r="1" customFormat="false" ht="17.35" hidden="false" customHeight="false" outlineLevel="0" collapsed="false">
      <c r="A1" s="5" t="s">
        <v>14</v>
      </c>
    </row>
    <row r="2" customFormat="false" ht="15" hidden="false" customHeight="false" outlineLevel="0" collapsed="false">
      <c r="A2" s="6" t="s">
        <v>15</v>
      </c>
    </row>
    <row r="4" customFormat="false" ht="15" hidden="false" customHeight="false" outlineLevel="0" collapsed="false">
      <c r="A4" s="7" t="s">
        <v>16</v>
      </c>
    </row>
    <row r="5" customFormat="false" ht="15" hidden="false" customHeight="false" outlineLevel="0" collapsed="false">
      <c r="A5" s="8" t="s">
        <v>17</v>
      </c>
      <c r="B5" s="8" t="s">
        <v>18</v>
      </c>
      <c r="C5" s="8" t="s">
        <v>19</v>
      </c>
      <c r="H5" s="8" t="s">
        <v>20</v>
      </c>
    </row>
    <row r="6" customFormat="false" ht="15" hidden="false" customHeight="false" outlineLevel="0" collapsed="false">
      <c r="A6" s="9" t="s">
        <v>21</v>
      </c>
      <c r="B6" s="10" t="n">
        <v>185</v>
      </c>
      <c r="C6" s="9" t="s">
        <v>22</v>
      </c>
      <c r="H6" s="6" t="s">
        <v>23</v>
      </c>
    </row>
    <row r="7" customFormat="false" ht="15" hidden="false" customHeight="false" outlineLevel="0" collapsed="false">
      <c r="A7" s="9" t="s">
        <v>24</v>
      </c>
      <c r="B7" s="10" t="n">
        <v>185</v>
      </c>
      <c r="C7" s="9" t="s">
        <v>22</v>
      </c>
      <c r="H7" s="6" t="s">
        <v>25</v>
      </c>
    </row>
    <row r="8" customFormat="false" ht="15" hidden="false" customHeight="false" outlineLevel="0" collapsed="false">
      <c r="A8" s="9" t="s">
        <v>26</v>
      </c>
      <c r="B8" s="10" t="n">
        <v>175</v>
      </c>
      <c r="C8" s="9" t="s">
        <v>22</v>
      </c>
      <c r="H8" s="6" t="s">
        <v>27</v>
      </c>
    </row>
    <row r="9" customFormat="false" ht="15" hidden="false" customHeight="false" outlineLevel="0" collapsed="false">
      <c r="A9" s="9" t="s">
        <v>28</v>
      </c>
      <c r="B9" s="10" t="n">
        <v>200</v>
      </c>
      <c r="C9" s="9" t="s">
        <v>22</v>
      </c>
      <c r="H9" s="6" t="s">
        <v>29</v>
      </c>
    </row>
    <row r="10" customFormat="false" ht="15" hidden="false" customHeight="false" outlineLevel="0" collapsed="false">
      <c r="A10" s="9" t="s">
        <v>30</v>
      </c>
      <c r="B10" s="10" t="n">
        <v>175</v>
      </c>
      <c r="C10" s="9" t="s">
        <v>22</v>
      </c>
      <c r="H10" s="6" t="s">
        <v>31</v>
      </c>
    </row>
    <row r="11" customFormat="false" ht="15" hidden="false" customHeight="false" outlineLevel="0" collapsed="false">
      <c r="A11" s="9" t="s">
        <v>32</v>
      </c>
      <c r="B11" s="10" t="n">
        <v>100</v>
      </c>
      <c r="C11" s="9" t="s">
        <v>22</v>
      </c>
      <c r="H11" s="6" t="s">
        <v>33</v>
      </c>
    </row>
    <row r="12" customFormat="false" ht="15" hidden="false" customHeight="false" outlineLevel="0" collapsed="false">
      <c r="A12" s="9" t="s">
        <v>34</v>
      </c>
      <c r="B12" s="10" t="n">
        <v>3500</v>
      </c>
      <c r="C12" s="9" t="s">
        <v>35</v>
      </c>
      <c r="H12" s="6" t="s">
        <v>36</v>
      </c>
    </row>
    <row r="13" customFormat="false" ht="15" hidden="false" customHeight="false" outlineLevel="0" collapsed="false">
      <c r="A13" s="9" t="s">
        <v>37</v>
      </c>
      <c r="B13" s="10" t="n">
        <v>100</v>
      </c>
      <c r="C13" s="9" t="s">
        <v>38</v>
      </c>
      <c r="H13" s="6" t="s">
        <v>39</v>
      </c>
    </row>
    <row r="16" customFormat="false" ht="15" hidden="false" customHeight="false" outlineLevel="0" collapsed="false">
      <c r="A16" s="7" t="s">
        <v>40</v>
      </c>
    </row>
    <row r="17" customFormat="false" ht="15" hidden="false" customHeight="false" outlineLevel="0" collapsed="false">
      <c r="A17" s="6" t="s">
        <v>41</v>
      </c>
    </row>
    <row r="18" customFormat="false" ht="39.55" hidden="false" customHeight="false" outlineLevel="0" collapsed="false">
      <c r="A18" s="11" t="s">
        <v>17</v>
      </c>
      <c r="B18" s="11" t="s">
        <v>42</v>
      </c>
      <c r="C18" s="11" t="s">
        <v>43</v>
      </c>
      <c r="D18" s="11" t="s">
        <v>44</v>
      </c>
      <c r="E18" s="11"/>
      <c r="F18" s="11"/>
      <c r="G18" s="11"/>
      <c r="H18" s="11" t="s">
        <v>20</v>
      </c>
    </row>
    <row r="19" customFormat="false" ht="15" hidden="false" customHeight="false" outlineLevel="0" collapsed="false">
      <c r="A19" s="9" t="s">
        <v>21</v>
      </c>
      <c r="B19" s="12" t="n">
        <v>4</v>
      </c>
      <c r="C19" s="12" t="n">
        <v>20</v>
      </c>
      <c r="D19" s="12" t="n">
        <v>48</v>
      </c>
      <c r="H19" s="6" t="s">
        <v>45</v>
      </c>
    </row>
    <row r="20" customFormat="false" ht="15" hidden="false" customHeight="false" outlineLevel="0" collapsed="false">
      <c r="A20" s="9" t="s">
        <v>24</v>
      </c>
      <c r="B20" s="12" t="n">
        <v>0</v>
      </c>
      <c r="C20" s="12" t="n">
        <v>8</v>
      </c>
      <c r="D20" s="12" t="n">
        <v>22</v>
      </c>
      <c r="H20" s="6" t="s">
        <v>46</v>
      </c>
    </row>
    <row r="21" customFormat="false" ht="15" hidden="false" customHeight="false" outlineLevel="0" collapsed="false">
      <c r="A21" s="9" t="s">
        <v>26</v>
      </c>
      <c r="B21" s="12" t="n">
        <v>20</v>
      </c>
      <c r="C21" s="12" t="n">
        <v>20</v>
      </c>
      <c r="D21" s="12" t="n">
        <v>20</v>
      </c>
      <c r="H21" s="6" t="s">
        <v>47</v>
      </c>
    </row>
    <row r="22" customFormat="false" ht="15" hidden="false" customHeight="false" outlineLevel="0" collapsed="false">
      <c r="A22" s="9" t="s">
        <v>28</v>
      </c>
      <c r="B22" s="12" t="n">
        <v>3</v>
      </c>
      <c r="C22" s="12" t="n">
        <v>3</v>
      </c>
      <c r="D22" s="12" t="n">
        <v>8</v>
      </c>
      <c r="H22" s="6" t="s">
        <v>48</v>
      </c>
    </row>
    <row r="23" customFormat="false" ht="15" hidden="false" customHeight="false" outlineLevel="0" collapsed="false">
      <c r="A23" s="9" t="s">
        <v>30</v>
      </c>
      <c r="B23" s="12" t="n">
        <v>6</v>
      </c>
      <c r="C23" s="12" t="n">
        <v>6</v>
      </c>
      <c r="D23" s="12" t="n">
        <v>6</v>
      </c>
      <c r="H23" s="6" t="s">
        <v>49</v>
      </c>
    </row>
    <row r="24" customFormat="false" ht="15" hidden="false" customHeight="false" outlineLevel="0" collapsed="false">
      <c r="A24" s="9" t="s">
        <v>32</v>
      </c>
      <c r="B24" s="12" t="n">
        <v>5</v>
      </c>
      <c r="C24" s="12" t="n">
        <v>5</v>
      </c>
      <c r="D24" s="12" t="n">
        <v>5</v>
      </c>
      <c r="H24" s="6" t="s">
        <v>50</v>
      </c>
    </row>
    <row r="27" customFormat="false" ht="15" hidden="false" customHeight="false" outlineLevel="0" collapsed="false">
      <c r="A27" s="7" t="s">
        <v>51</v>
      </c>
    </row>
    <row r="28" customFormat="false" ht="15" hidden="false" customHeight="false" outlineLevel="0" collapsed="false">
      <c r="A28" s="8" t="s">
        <v>52</v>
      </c>
      <c r="B28" s="8" t="s">
        <v>53</v>
      </c>
      <c r="H28" s="8" t="s">
        <v>20</v>
      </c>
    </row>
    <row r="29" customFormat="false" ht="15" hidden="false" customHeight="false" outlineLevel="0" collapsed="false">
      <c r="A29" s="9" t="s">
        <v>54</v>
      </c>
      <c r="B29" s="12" t="n">
        <v>20</v>
      </c>
      <c r="H29" s="6" t="s">
        <v>55</v>
      </c>
    </row>
    <row r="30" customFormat="false" ht="15" hidden="false" customHeight="false" outlineLevel="0" collapsed="false">
      <c r="A30" s="9" t="s">
        <v>56</v>
      </c>
      <c r="B30" s="12" t="n">
        <v>0.6</v>
      </c>
      <c r="H30" s="6" t="s">
        <v>57</v>
      </c>
    </row>
    <row r="31" customFormat="false" ht="15" hidden="false" customHeight="false" outlineLevel="0" collapsed="false">
      <c r="A31" s="9" t="s">
        <v>58</v>
      </c>
      <c r="B31" s="12" t="n">
        <v>3</v>
      </c>
      <c r="H31" s="6" t="s">
        <v>59</v>
      </c>
    </row>
    <row r="32" customFormat="false" ht="15" hidden="false" customHeight="false" outlineLevel="0" collapsed="false">
      <c r="A32" s="9" t="s">
        <v>60</v>
      </c>
      <c r="B32" s="12" t="n">
        <v>4</v>
      </c>
      <c r="H32" s="6" t="s">
        <v>61</v>
      </c>
    </row>
    <row r="33" customFormat="false" ht="15" hidden="false" customHeight="false" outlineLevel="0" collapsed="false">
      <c r="A33" s="9" t="s">
        <v>62</v>
      </c>
      <c r="B33" s="12" t="n">
        <v>2</v>
      </c>
      <c r="H33" s="6" t="s">
        <v>63</v>
      </c>
    </row>
    <row r="34" customFormat="false" ht="15" hidden="false" customHeight="false" outlineLevel="0" collapsed="false">
      <c r="A34" s="9" t="s">
        <v>64</v>
      </c>
      <c r="B34" s="12" t="n">
        <v>4</v>
      </c>
      <c r="H34" s="6" t="s">
        <v>65</v>
      </c>
    </row>
    <row r="35" customFormat="false" ht="15" hidden="false" customHeight="false" outlineLevel="0" collapsed="false">
      <c r="A35" s="9" t="s">
        <v>66</v>
      </c>
      <c r="B35" s="12" t="n">
        <v>3</v>
      </c>
      <c r="H35" s="6" t="s">
        <v>67</v>
      </c>
    </row>
    <row r="38" customFormat="false" ht="15" hidden="false" customHeight="false" outlineLevel="0" collapsed="false">
      <c r="A38" s="7" t="s">
        <v>68</v>
      </c>
    </row>
    <row r="39" customFormat="false" ht="15" hidden="false" customHeight="false" outlineLevel="0" collapsed="false">
      <c r="A39" s="6" t="s">
        <v>69</v>
      </c>
    </row>
    <row r="40" customFormat="false" ht="26.85" hidden="false" customHeight="false" outlineLevel="0" collapsed="false">
      <c r="A40" s="11" t="s">
        <v>70</v>
      </c>
      <c r="B40" s="11" t="s">
        <v>71</v>
      </c>
      <c r="C40" s="11" t="s">
        <v>72</v>
      </c>
      <c r="D40" s="11" t="s">
        <v>73</v>
      </c>
      <c r="E40" s="11" t="s">
        <v>74</v>
      </c>
      <c r="F40" s="11" t="s">
        <v>75</v>
      </c>
      <c r="G40" s="11" t="s">
        <v>76</v>
      </c>
      <c r="H40" s="11" t="s">
        <v>20</v>
      </c>
    </row>
    <row r="41" customFormat="false" ht="15" hidden="false" customHeight="false" outlineLevel="0" collapsed="false">
      <c r="A41" s="9" t="s">
        <v>77</v>
      </c>
      <c r="B41" s="13" t="n">
        <v>20</v>
      </c>
      <c r="C41" s="13" t="n">
        <v>1</v>
      </c>
      <c r="D41" s="13" t="n">
        <v>3</v>
      </c>
      <c r="E41" s="13" t="n">
        <v>2</v>
      </c>
      <c r="F41" s="13" t="n">
        <v>1</v>
      </c>
      <c r="G41" s="13" t="n">
        <v>0</v>
      </c>
      <c r="H41" s="6" t="s">
        <v>78</v>
      </c>
    </row>
    <row r="42" customFormat="false" ht="15" hidden="false" customHeight="false" outlineLevel="0" collapsed="false">
      <c r="A42" s="9" t="s">
        <v>79</v>
      </c>
      <c r="B42" s="13" t="n">
        <v>35</v>
      </c>
      <c r="C42" s="13" t="n">
        <v>2</v>
      </c>
      <c r="D42" s="13" t="n">
        <v>4</v>
      </c>
      <c r="E42" s="13" t="n">
        <v>3</v>
      </c>
      <c r="F42" s="13" t="n">
        <v>2</v>
      </c>
      <c r="G42" s="13" t="n">
        <v>1</v>
      </c>
      <c r="H42" s="6" t="s">
        <v>80</v>
      </c>
    </row>
    <row r="43" customFormat="false" ht="15" hidden="false" customHeight="false" outlineLevel="0" collapsed="false">
      <c r="A43" s="9" t="s">
        <v>81</v>
      </c>
      <c r="B43" s="13" t="n">
        <v>50</v>
      </c>
      <c r="C43" s="13" t="n">
        <v>3</v>
      </c>
      <c r="D43" s="13" t="n">
        <v>5</v>
      </c>
      <c r="E43" s="13" t="n">
        <v>4</v>
      </c>
      <c r="F43" s="13" t="n">
        <v>3</v>
      </c>
      <c r="G43" s="13" t="n">
        <v>2</v>
      </c>
      <c r="H43" s="6" t="s">
        <v>82</v>
      </c>
    </row>
    <row r="45" customFormat="false" ht="15" hidden="false" customHeight="false" outlineLevel="0" collapsed="false">
      <c r="A45" s="7" t="s">
        <v>83</v>
      </c>
    </row>
    <row r="46" customFormat="false" ht="15" hidden="false" customHeight="false" outlineLevel="0" collapsed="false">
      <c r="A46" s="6" t="s">
        <v>84</v>
      </c>
    </row>
    <row r="47" customFormat="false" ht="15" hidden="false" customHeight="false" outlineLevel="0" collapsed="false">
      <c r="A47" s="8" t="s">
        <v>85</v>
      </c>
      <c r="B47" s="8" t="s">
        <v>86</v>
      </c>
      <c r="C47" s="8" t="s">
        <v>87</v>
      </c>
      <c r="H47" s="8" t="s">
        <v>20</v>
      </c>
    </row>
    <row r="48" customFormat="false" ht="15" hidden="false" customHeight="false" outlineLevel="0" collapsed="false">
      <c r="A48" s="9" t="s">
        <v>88</v>
      </c>
      <c r="B48" s="13" t="s">
        <v>77</v>
      </c>
      <c r="C48" s="9" t="s">
        <v>89</v>
      </c>
      <c r="H48" s="6" t="s">
        <v>90</v>
      </c>
    </row>
    <row r="49" customFormat="false" ht="15" hidden="false" customHeight="false" outlineLevel="0" collapsed="false">
      <c r="A49" s="9" t="s">
        <v>91</v>
      </c>
      <c r="B49" s="13" t="s">
        <v>79</v>
      </c>
      <c r="C49" s="9" t="s">
        <v>92</v>
      </c>
      <c r="H49" s="6" t="s">
        <v>93</v>
      </c>
    </row>
    <row r="50" customFormat="false" ht="15" hidden="false" customHeight="false" outlineLevel="0" collapsed="false">
      <c r="A50" s="9" t="s">
        <v>94</v>
      </c>
      <c r="B50" s="13" t="s">
        <v>81</v>
      </c>
      <c r="C50" s="9" t="s">
        <v>95</v>
      </c>
      <c r="H50" s="6"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5" min="2" style="0" width="14"/>
  </cols>
  <sheetData>
    <row r="1" customFormat="false" ht="17.35" hidden="false" customHeight="false" outlineLevel="0" collapsed="false">
      <c r="A1" s="5" t="s">
        <v>97</v>
      </c>
    </row>
    <row r="2" customFormat="false" ht="25.5" hidden="false" customHeight="true" outlineLevel="0" collapsed="false">
      <c r="A2" s="14" t="s">
        <v>98</v>
      </c>
    </row>
    <row r="4" customFormat="false" ht="15" hidden="false" customHeight="false" outlineLevel="0" collapsed="false">
      <c r="A4" s="15"/>
      <c r="B4" s="15" t="s">
        <v>88</v>
      </c>
      <c r="C4" s="15" t="s">
        <v>91</v>
      </c>
      <c r="D4" s="15" t="s">
        <v>94</v>
      </c>
      <c r="E4" s="15" t="s">
        <v>99</v>
      </c>
    </row>
    <row r="5" customFormat="false" ht="15" hidden="false" customHeight="false" outlineLevel="0" collapsed="false">
      <c r="A5" s="7" t="s">
        <v>70</v>
      </c>
      <c r="B5" s="16" t="s">
        <v>77</v>
      </c>
      <c r="C5" s="16" t="s">
        <v>79</v>
      </c>
      <c r="D5" s="16" t="s">
        <v>81</v>
      </c>
      <c r="E5" s="17" t="s">
        <v>99</v>
      </c>
    </row>
    <row r="6" customFormat="false" ht="15" hidden="false" customHeight="false" outlineLevel="0" collapsed="false">
      <c r="A6" s="9" t="s">
        <v>71</v>
      </c>
      <c r="B6" s="18" t="n">
        <f aca="false">INDEX(Assumptions!$B$41:$B$43,MATCH(B$5,Assumptions!$A$41:$A$43,0))</f>
        <v>20</v>
      </c>
      <c r="C6" s="18" t="n">
        <f aca="false">INDEX(Assumptions!$B$41:$B$43,MATCH(C$5,Assumptions!$A$41:$A$43,0))</f>
        <v>35</v>
      </c>
      <c r="D6" s="18" t="n">
        <f aca="false">INDEX(Assumptions!$B$41:$B$43,MATCH(D$5,Assumptions!$A$41:$A$43,0))</f>
        <v>50</v>
      </c>
      <c r="E6" s="16" t="n">
        <v>35</v>
      </c>
    </row>
    <row r="7" customFormat="false" ht="15" hidden="false" customHeight="false" outlineLevel="0" collapsed="false">
      <c r="A7" s="9" t="s">
        <v>100</v>
      </c>
      <c r="B7" s="18" t="n">
        <f aca="false">INDEX(Assumptions!$C$41:$C$43,MATCH(B$5,Assumptions!$A$41:$A$43,0))</f>
        <v>1</v>
      </c>
      <c r="C7" s="18" t="n">
        <f aca="false">INDEX(Assumptions!$C$41:$C$43,MATCH(C$5,Assumptions!$A$41:$A$43,0))</f>
        <v>2</v>
      </c>
      <c r="D7" s="18" t="n">
        <f aca="false">INDEX(Assumptions!$C$41:$C$43,MATCH(D$5,Assumptions!$A$41:$A$43,0))</f>
        <v>3</v>
      </c>
      <c r="E7" s="16" t="n">
        <v>2</v>
      </c>
    </row>
    <row r="8" customFormat="false" ht="15" hidden="false" customHeight="false" outlineLevel="0" collapsed="false">
      <c r="A8" s="9" t="s">
        <v>101</v>
      </c>
      <c r="B8" s="19" t="str">
        <f aca="false">CHOOSE(B7,"Deck mods only","Scripting","Full narrative")</f>
        <v>Deck mods only</v>
      </c>
      <c r="C8" s="19" t="str">
        <f aca="false">CHOOSE(C7,"Deck mods only","Scripting","Full narrative")</f>
        <v>Scripting</v>
      </c>
      <c r="D8" s="19" t="str">
        <f aca="false">CHOOSE(D7,"Deck mods only","Scripting","Full narrative")</f>
        <v>Full narrative</v>
      </c>
      <c r="E8" s="19" t="str">
        <f aca="false">CHOOSE(E7,"Deck mods only","Scripting","Full narrative")</f>
        <v>Scripting</v>
      </c>
    </row>
    <row r="9" customFormat="false" ht="15" hidden="false" customHeight="false" outlineLevel="0" collapsed="false">
      <c r="A9" s="9" t="s">
        <v>102</v>
      </c>
      <c r="B9" s="18" t="n">
        <f aca="false">INDEX(Assumptions!$D$41:$D$43,MATCH(B$5,Assumptions!$A$41:$A$43,0))</f>
        <v>3</v>
      </c>
      <c r="C9" s="18" t="n">
        <f aca="false">INDEX(Assumptions!$D$41:$D$43,MATCH(C$5,Assumptions!$A$41:$A$43,0))</f>
        <v>4</v>
      </c>
      <c r="D9" s="18" t="n">
        <f aca="false">INDEX(Assumptions!$D$41:$D$43,MATCH(D$5,Assumptions!$A$41:$A$43,0))</f>
        <v>5</v>
      </c>
      <c r="E9" s="16" t="n">
        <v>4</v>
      </c>
    </row>
    <row r="10" customFormat="false" ht="15" hidden="false" customHeight="false" outlineLevel="0" collapsed="false">
      <c r="A10" s="9" t="s">
        <v>103</v>
      </c>
      <c r="B10" s="18" t="n">
        <f aca="false">INDEX(Assumptions!$E$41:$E$43,MATCH(B$5,Assumptions!$A$41:$A$43,0))</f>
        <v>2</v>
      </c>
      <c r="C10" s="18" t="n">
        <f aca="false">INDEX(Assumptions!$E$41:$E$43,MATCH(C$5,Assumptions!$A$41:$A$43,0))</f>
        <v>3</v>
      </c>
      <c r="D10" s="18" t="n">
        <f aca="false">INDEX(Assumptions!$E$41:$E$43,MATCH(D$5,Assumptions!$A$41:$A$43,0))</f>
        <v>4</v>
      </c>
      <c r="E10" s="16" t="n">
        <v>3</v>
      </c>
    </row>
    <row r="11" customFormat="false" ht="15" hidden="false" customHeight="false" outlineLevel="0" collapsed="false">
      <c r="A11" s="9" t="s">
        <v>104</v>
      </c>
      <c r="B11" s="18" t="n">
        <f aca="false">INDEX(Assumptions!$F$41:$F$43,MATCH(B$5,Assumptions!$A$41:$A$43,0))</f>
        <v>1</v>
      </c>
      <c r="C11" s="18" t="n">
        <f aca="false">INDEX(Assumptions!$F$41:$F$43,MATCH(C$5,Assumptions!$A$41:$A$43,0))</f>
        <v>2</v>
      </c>
      <c r="D11" s="18" t="n">
        <f aca="false">INDEX(Assumptions!$F$41:$F$43,MATCH(D$5,Assumptions!$A$41:$A$43,0))</f>
        <v>3</v>
      </c>
      <c r="E11" s="16" t="n">
        <v>2</v>
      </c>
    </row>
    <row r="12" customFormat="false" ht="15" hidden="false" customHeight="false" outlineLevel="0" collapsed="false">
      <c r="A12" s="9" t="s">
        <v>105</v>
      </c>
      <c r="B12" s="18" t="n">
        <f aca="false">INDEX(Assumptions!$G$41:$G$43,MATCH(B$5,Assumptions!$A$41:$A$43,0))</f>
        <v>0</v>
      </c>
      <c r="C12" s="18" t="n">
        <f aca="false">INDEX(Assumptions!$G$41:$G$43,MATCH(C$5,Assumptions!$A$41:$A$43,0))</f>
        <v>1</v>
      </c>
      <c r="D12" s="18" t="n">
        <f aca="false">INDEX(Assumptions!$G$41:$G$43,MATCH(D$5,Assumptions!$A$41:$A$43,0))</f>
        <v>2</v>
      </c>
      <c r="E12" s="16" t="n">
        <v>1</v>
      </c>
    </row>
    <row r="14" customFormat="false" ht="15" hidden="false" customHeight="false" outlineLevel="0" collapsed="false">
      <c r="A14" s="20" t="s">
        <v>106</v>
      </c>
      <c r="B14" s="21"/>
      <c r="C14" s="21"/>
      <c r="D14" s="21"/>
      <c r="E14" s="21"/>
    </row>
    <row r="15" customFormat="false" ht="15" hidden="false" customHeight="false" outlineLevel="0" collapsed="false">
      <c r="A15" s="9" t="s">
        <v>21</v>
      </c>
      <c r="B15" s="22" t="n">
        <f aca="false">INDEX(Assumptions!$B$19:$D$19,B7)+Assumptions!$B$33*B10+Assumptions!$B$35*B11</f>
        <v>11</v>
      </c>
      <c r="C15" s="22" t="n">
        <f aca="false">INDEX(Assumptions!$B$19:$D$19,C7)+Assumptions!$B$33*C10+Assumptions!$B$35*C11</f>
        <v>32</v>
      </c>
      <c r="D15" s="22" t="n">
        <f aca="false">INDEX(Assumptions!$B$19:$D$19,D7)+Assumptions!$B$33*D10+Assumptions!$B$35*D11</f>
        <v>65</v>
      </c>
      <c r="E15" s="22" t="n">
        <f aca="false">INDEX(Assumptions!$B$19:$D$19,E7)+Assumptions!$B$33*E10+Assumptions!$B$35*E11</f>
        <v>32</v>
      </c>
    </row>
    <row r="16" customFormat="false" ht="15" hidden="false" customHeight="false" outlineLevel="0" collapsed="false">
      <c r="A16" s="9" t="s">
        <v>24</v>
      </c>
      <c r="B16" s="22" t="n">
        <f aca="false">INDEX(Assumptions!$B$20:$D$20,B7)+Assumptions!$B$31*B9</f>
        <v>9</v>
      </c>
      <c r="C16" s="22" t="n">
        <f aca="false">INDEX(Assumptions!$B$20:$D$20,C7)+Assumptions!$B$31*C9</f>
        <v>20</v>
      </c>
      <c r="D16" s="22" t="n">
        <f aca="false">INDEX(Assumptions!$B$20:$D$20,D7)+Assumptions!$B$31*D9</f>
        <v>37</v>
      </c>
      <c r="E16" s="22" t="n">
        <f aca="false">INDEX(Assumptions!$B$20:$D$20,E7)+Assumptions!$B$31*E9</f>
        <v>20</v>
      </c>
    </row>
    <row r="17" customFormat="false" ht="15" hidden="false" customHeight="false" outlineLevel="0" collapsed="false">
      <c r="A17" s="9" t="s">
        <v>26</v>
      </c>
      <c r="B17" s="22" t="n">
        <f aca="false">INDEX(Assumptions!$B$21:$D$21,B7)+Assumptions!$B$30*MAX(0,B6-Assumptions!$B$29)+Assumptions!$B$32*B10</f>
        <v>28</v>
      </c>
      <c r="C17" s="22" t="n">
        <f aca="false">INDEX(Assumptions!$B$21:$D$21,C7)+Assumptions!$B$30*MAX(0,C6-Assumptions!$B$29)+Assumptions!$B$32*C10</f>
        <v>41</v>
      </c>
      <c r="D17" s="22" t="n">
        <f aca="false">INDEX(Assumptions!$B$21:$D$21,D7)+Assumptions!$B$30*MAX(0,D6-Assumptions!$B$29)+Assumptions!$B$32*D10</f>
        <v>54</v>
      </c>
      <c r="E17" s="22" t="n">
        <f aca="false">INDEX(Assumptions!$B$21:$D$21,E7)+Assumptions!$B$30*MAX(0,E6-Assumptions!$B$29)+Assumptions!$B$32*E10</f>
        <v>41</v>
      </c>
    </row>
    <row r="18" customFormat="false" ht="15" hidden="false" customHeight="false" outlineLevel="0" collapsed="false">
      <c r="A18" s="9" t="s">
        <v>28</v>
      </c>
      <c r="B18" s="22" t="n">
        <f aca="false">INDEX(Assumptions!$B$22:$D$22,B7)</f>
        <v>3</v>
      </c>
      <c r="C18" s="22" t="n">
        <f aca="false">INDEX(Assumptions!$B$22:$D$22,C7)</f>
        <v>3</v>
      </c>
      <c r="D18" s="22" t="n">
        <f aca="false">INDEX(Assumptions!$B$22:$D$22,D7)</f>
        <v>8</v>
      </c>
      <c r="E18" s="22" t="n">
        <f aca="false">INDEX(Assumptions!$B$22:$D$22,E7)</f>
        <v>3</v>
      </c>
    </row>
    <row r="19" customFormat="false" ht="15" hidden="false" customHeight="false" outlineLevel="0" collapsed="false">
      <c r="A19" s="9" t="s">
        <v>30</v>
      </c>
      <c r="B19" s="22" t="n">
        <f aca="false">INDEX(Assumptions!$B$23:$D$23,B7)+Assumptions!$B$34*B11</f>
        <v>10</v>
      </c>
      <c r="C19" s="22" t="n">
        <f aca="false">INDEX(Assumptions!$B$23:$D$23,C7)+Assumptions!$B$34*C11</f>
        <v>14</v>
      </c>
      <c r="D19" s="22" t="n">
        <f aca="false">INDEX(Assumptions!$B$23:$D$23,D7)+Assumptions!$B$34*D11</f>
        <v>18</v>
      </c>
      <c r="E19" s="22" t="n">
        <f aca="false">INDEX(Assumptions!$B$23:$D$23,E7)+Assumptions!$B$34*E11</f>
        <v>14</v>
      </c>
    </row>
    <row r="20" customFormat="false" ht="15" hidden="false" customHeight="false" outlineLevel="0" collapsed="false">
      <c r="A20" s="9" t="s">
        <v>32</v>
      </c>
      <c r="B20" s="22" t="n">
        <f aca="false">INDEX(Assumptions!$B$24:$D$24,B7)</f>
        <v>5</v>
      </c>
      <c r="C20" s="22" t="n">
        <f aca="false">INDEX(Assumptions!$B$24:$D$24,C7)</f>
        <v>5</v>
      </c>
      <c r="D20" s="22" t="n">
        <f aca="false">INDEX(Assumptions!$B$24:$D$24,D7)</f>
        <v>5</v>
      </c>
      <c r="E20" s="22" t="n">
        <f aca="false">INDEX(Assumptions!$B$24:$D$24,E7)</f>
        <v>5</v>
      </c>
    </row>
    <row r="21" customFormat="false" ht="15" hidden="false" customHeight="false" outlineLevel="0" collapsed="false">
      <c r="A21" s="7" t="s">
        <v>107</v>
      </c>
      <c r="B21" s="23" t="n">
        <f aca="false">SUM(B15:B20)</f>
        <v>66</v>
      </c>
      <c r="C21" s="23" t="n">
        <f aca="false">SUM(C15:C20)</f>
        <v>115</v>
      </c>
      <c r="D21" s="23" t="n">
        <f aca="false">SUM(D15:D20)</f>
        <v>187</v>
      </c>
      <c r="E21" s="23" t="n">
        <f aca="false">SUM(E15:E20)</f>
        <v>115</v>
      </c>
    </row>
    <row r="23" customFormat="false" ht="15" hidden="false" customHeight="false" outlineLevel="0" collapsed="false">
      <c r="A23" s="20" t="s">
        <v>108</v>
      </c>
      <c r="B23" s="21"/>
      <c r="C23" s="21"/>
      <c r="D23" s="21"/>
      <c r="E23" s="21"/>
    </row>
    <row r="24" customFormat="false" ht="15" hidden="false" customHeight="false" outlineLevel="0" collapsed="false">
      <c r="A24" s="9" t="s">
        <v>21</v>
      </c>
      <c r="B24" s="24" t="n">
        <f aca="false">B15*Assumptions!$B$6</f>
        <v>2035</v>
      </c>
      <c r="C24" s="24" t="n">
        <f aca="false">C15*Assumptions!$B$6</f>
        <v>5920</v>
      </c>
      <c r="D24" s="24" t="n">
        <f aca="false">D15*Assumptions!$B$6</f>
        <v>12025</v>
      </c>
      <c r="E24" s="24" t="n">
        <f aca="false">E15*Assumptions!$B$6</f>
        <v>5920</v>
      </c>
    </row>
    <row r="25" customFormat="false" ht="15" hidden="false" customHeight="false" outlineLevel="0" collapsed="false">
      <c r="A25" s="9" t="s">
        <v>24</v>
      </c>
      <c r="B25" s="24" t="n">
        <f aca="false">B16*Assumptions!$B$7</f>
        <v>1665</v>
      </c>
      <c r="C25" s="24" t="n">
        <f aca="false">C16*Assumptions!$B$7</f>
        <v>3700</v>
      </c>
      <c r="D25" s="24" t="n">
        <f aca="false">D16*Assumptions!$B$7</f>
        <v>6845</v>
      </c>
      <c r="E25" s="24" t="n">
        <f aca="false">E16*Assumptions!$B$7</f>
        <v>3700</v>
      </c>
    </row>
    <row r="26" customFormat="false" ht="15" hidden="false" customHeight="false" outlineLevel="0" collapsed="false">
      <c r="A26" s="9" t="s">
        <v>26</v>
      </c>
      <c r="B26" s="24" t="n">
        <f aca="false">B17*Assumptions!$B$8</f>
        <v>4900</v>
      </c>
      <c r="C26" s="24" t="n">
        <f aca="false">C17*Assumptions!$B$8</f>
        <v>7175</v>
      </c>
      <c r="D26" s="24" t="n">
        <f aca="false">D17*Assumptions!$B$8</f>
        <v>9450</v>
      </c>
      <c r="E26" s="24" t="n">
        <f aca="false">E17*Assumptions!$B$8</f>
        <v>7175</v>
      </c>
    </row>
    <row r="27" customFormat="false" ht="15" hidden="false" customHeight="false" outlineLevel="0" collapsed="false">
      <c r="A27" s="9" t="s">
        <v>28</v>
      </c>
      <c r="B27" s="24" t="n">
        <f aca="false">B18*Assumptions!$B$9</f>
        <v>600</v>
      </c>
      <c r="C27" s="24" t="n">
        <f aca="false">C18*Assumptions!$B$9</f>
        <v>600</v>
      </c>
      <c r="D27" s="24" t="n">
        <f aca="false">D18*Assumptions!$B$9</f>
        <v>1600</v>
      </c>
      <c r="E27" s="24" t="n">
        <f aca="false">E18*Assumptions!$B$9</f>
        <v>600</v>
      </c>
    </row>
    <row r="28" customFormat="false" ht="15" hidden="false" customHeight="false" outlineLevel="0" collapsed="false">
      <c r="A28" s="9" t="s">
        <v>30</v>
      </c>
      <c r="B28" s="24" t="n">
        <f aca="false">B19*Assumptions!$B$10</f>
        <v>1750</v>
      </c>
      <c r="C28" s="24" t="n">
        <f aca="false">C19*Assumptions!$B$10</f>
        <v>2450</v>
      </c>
      <c r="D28" s="24" t="n">
        <f aca="false">D19*Assumptions!$B$10</f>
        <v>3150</v>
      </c>
      <c r="E28" s="24" t="n">
        <f aca="false">E19*Assumptions!$B$10</f>
        <v>2450</v>
      </c>
    </row>
    <row r="29" customFormat="false" ht="15" hidden="false" customHeight="false" outlineLevel="0" collapsed="false">
      <c r="A29" s="9" t="s">
        <v>32</v>
      </c>
      <c r="B29" s="24" t="n">
        <f aca="false">B20*Assumptions!$B$11</f>
        <v>500</v>
      </c>
      <c r="C29" s="24" t="n">
        <f aca="false">C20*Assumptions!$B$11</f>
        <v>500</v>
      </c>
      <c r="D29" s="24" t="n">
        <f aca="false">D20*Assumptions!$B$11</f>
        <v>500</v>
      </c>
      <c r="E29" s="24" t="n">
        <f aca="false">E20*Assumptions!$B$11</f>
        <v>500</v>
      </c>
    </row>
    <row r="30" customFormat="false" ht="15" hidden="false" customHeight="false" outlineLevel="0" collapsed="false">
      <c r="A30" s="7" t="s">
        <v>109</v>
      </c>
      <c r="B30" s="25" t="n">
        <f aca="false">SUM(B24:B29)</f>
        <v>11450</v>
      </c>
      <c r="C30" s="25" t="n">
        <f aca="false">SUM(C24:C29)</f>
        <v>20345</v>
      </c>
      <c r="D30" s="25" t="n">
        <f aca="false">SUM(D24:D29)</f>
        <v>33570</v>
      </c>
      <c r="E30" s="25" t="n">
        <f aca="false">SUM(E24:E29)</f>
        <v>20345</v>
      </c>
    </row>
    <row r="31" customFormat="false" ht="15" hidden="false" customHeight="false" outlineLevel="0" collapsed="false">
      <c r="A31" s="9" t="s">
        <v>110</v>
      </c>
      <c r="B31" s="24" t="n">
        <f aca="false">B12*Assumptions!$B$12</f>
        <v>0</v>
      </c>
      <c r="C31" s="24" t="n">
        <f aca="false">C12*Assumptions!$B$12</f>
        <v>3500</v>
      </c>
      <c r="D31" s="24" t="n">
        <f aca="false">D12*Assumptions!$B$12</f>
        <v>7000</v>
      </c>
      <c r="E31" s="24" t="n">
        <f aca="false">E12*Assumptions!$B$12</f>
        <v>3500</v>
      </c>
    </row>
    <row r="32" customFormat="false" ht="15" hidden="false" customHeight="false" outlineLevel="0" collapsed="false">
      <c r="A32" s="7" t="s">
        <v>111</v>
      </c>
      <c r="B32" s="25" t="n">
        <f aca="false">B30+B31</f>
        <v>11450</v>
      </c>
      <c r="C32" s="25" t="n">
        <f aca="false">C30+C31</f>
        <v>23845</v>
      </c>
      <c r="D32" s="25" t="n">
        <f aca="false">D30+D31</f>
        <v>40570</v>
      </c>
      <c r="E32" s="25" t="n">
        <f aca="false">E30+E31</f>
        <v>23845</v>
      </c>
    </row>
    <row r="33" customFormat="false" ht="15" hidden="false" customHeight="false" outlineLevel="0" collapsed="false">
      <c r="A33" s="7" t="s">
        <v>112</v>
      </c>
      <c r="B33" s="25" t="n">
        <f aca="false">CEILING(B32,Assumptions!$B$13)</f>
        <v>11500</v>
      </c>
      <c r="C33" s="25" t="n">
        <f aca="false">CEILING(C32,Assumptions!$B$13)</f>
        <v>23900</v>
      </c>
      <c r="D33" s="25" t="n">
        <f aca="false">CEILING(D32,Assumptions!$B$13)</f>
        <v>40600</v>
      </c>
      <c r="E33" s="25" t="n">
        <f aca="false">CEILING(E32,Assumptions!$B$13)</f>
        <v>23900</v>
      </c>
    </row>
    <row r="35" customFormat="false" ht="15" hidden="false" customHeight="false" outlineLevel="0" collapsed="false">
      <c r="A35" s="7" t="s">
        <v>113</v>
      </c>
      <c r="B35" s="25" t="n">
        <f aca="false">SUM(B33:D33)</f>
        <v>76000</v>
      </c>
    </row>
    <row r="36" customFormat="false" ht="15" hidden="false" customHeight="false" outlineLevel="0" collapsed="false">
      <c r="A36" s="6"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2026-06-11T21:23:07Z</dcterms:created>
  <dc:creator>openpyxl</dc:creator>
  <dc:description/>
  <dc:language>en-US</dc:language>
  <cp:lastModifiedBy/>
  <dcterms:modified xsi:type="dcterms:W3CDTF">2026-06-11T21:23:07Z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