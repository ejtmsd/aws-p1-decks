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sheetId="1" state="visible" r:id="rId1"/>
    <sheet name="Assumptions" sheetId="2" state="visible" r:id="rId2"/>
    <sheet name="Calculator"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
    <numFmt numFmtId="165" formatCode="0.##"/>
  </numFmts>
  <fonts count="12">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sz val="11"/>
    </font>
    <font>
      <name val="Arial"/>
      <charset val="1"/>
      <family val="0"/>
      <b val="1"/>
      <sz val="11"/>
    </font>
    <font>
      <name val="Arial"/>
      <charset val="1"/>
      <family val="0"/>
      <i val="1"/>
      <color rgb="FF666666"/>
      <sz val="9"/>
    </font>
    <font>
      <name val="Arial"/>
      <charset val="1"/>
      <family val="0"/>
      <b val="1"/>
      <color rgb="FFFFFFFF"/>
      <sz val="11"/>
    </font>
    <font>
      <name val="Arial"/>
      <charset val="1"/>
      <family val="0"/>
      <color rgb="FF0000FF"/>
      <sz val="11"/>
    </font>
    <font>
      <name val="Arial"/>
      <charset val="1"/>
      <family val="0"/>
      <color rgb="FF008000"/>
      <sz val="11"/>
    </font>
    <font>
      <name val="Arial"/>
      <charset val="1"/>
      <family val="0"/>
      <b val="1"/>
      <sz val="12"/>
    </font>
  </fonts>
  <fills count="5">
    <fill>
      <patternFill/>
    </fill>
    <fill>
      <patternFill patternType="gray125"/>
    </fill>
    <fill>
      <patternFill patternType="solid">
        <fgColor rgb="FFFFFF00"/>
        <bgColor rgb="FFFFFF00"/>
      </patternFill>
    </fill>
    <fill>
      <patternFill patternType="solid">
        <fgColor rgb="FF1A1A1A"/>
        <bgColor rgb="FF333300"/>
      </patternFill>
    </fill>
    <fill>
      <patternFill patternType="solid">
        <fgColor rgb="FFF2F0EC"/>
        <bgColor rgb="FFFFFFFF"/>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7">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6" fillId="2" borderId="0" applyAlignment="1" pivotButton="0" quotePrefix="0" xfId="0">
      <alignment horizontal="general" vertical="top" wrapText="1"/>
    </xf>
    <xf numFmtId="0" fontId="4" fillId="0" borderId="0" applyAlignment="1" pivotButton="0" quotePrefix="0" xfId="0">
      <alignment horizontal="general" vertical="bottom"/>
    </xf>
    <xf numFmtId="0" fontId="7" fillId="0" borderId="0" applyAlignment="1" pivotButton="0" quotePrefix="0" xfId="0">
      <alignment horizontal="general" vertical="bottom"/>
    </xf>
    <xf numFmtId="0" fontId="6" fillId="0" borderId="0" applyAlignment="1" pivotButton="0" quotePrefix="0" xfId="0">
      <alignment horizontal="general" vertical="bottom"/>
    </xf>
    <xf numFmtId="0" fontId="8" fillId="3" borderId="0" applyAlignment="1" pivotButton="0" quotePrefix="0" xfId="0">
      <alignment horizontal="general" vertical="bottom"/>
    </xf>
    <xf numFmtId="0" fontId="5" fillId="0" borderId="0" applyAlignment="1" pivotButton="0" quotePrefix="0" xfId="0">
      <alignment horizontal="general" vertical="bottom"/>
    </xf>
    <xf numFmtId="164" fontId="9" fillId="0" borderId="0" applyAlignment="1" pivotButton="0" quotePrefix="0" xfId="0">
      <alignment horizontal="general" vertical="bottom"/>
    </xf>
    <xf numFmtId="0" fontId="8" fillId="3" borderId="0" applyAlignment="1" pivotButton="0" quotePrefix="0" xfId="0">
      <alignment horizontal="general" vertical="bottom" wrapText="1"/>
    </xf>
    <xf numFmtId="165" fontId="9" fillId="0" borderId="0" applyAlignment="1" pivotButton="0" quotePrefix="0" xfId="0">
      <alignment horizontal="general" vertical="bottom"/>
    </xf>
    <xf numFmtId="0" fontId="9" fillId="0" borderId="0" applyAlignment="1" pivotButton="0" quotePrefix="0" xfId="0">
      <alignment horizontal="general" vertical="bottom"/>
    </xf>
    <xf numFmtId="0" fontId="7" fillId="0" borderId="0" applyAlignment="1" pivotButton="0" quotePrefix="0" xfId="0">
      <alignment horizontal="general" vertical="bottom" wrapText="1"/>
    </xf>
    <xf numFmtId="0" fontId="8" fillId="3" borderId="0" applyAlignment="1" pivotButton="0" quotePrefix="0" xfId="0">
      <alignment horizontal="center" vertical="bottom"/>
    </xf>
    <xf numFmtId="0" fontId="10" fillId="0" borderId="0" applyAlignment="1" pivotButton="0" quotePrefix="0" xfId="0">
      <alignment horizontal="center" vertical="bottom"/>
    </xf>
    <xf numFmtId="0" fontId="9" fillId="0" borderId="0" applyAlignment="1" pivotButton="0" quotePrefix="0" xfId="0">
      <alignment horizontal="center" vertical="bottom"/>
    </xf>
    <xf numFmtId="0" fontId="7" fillId="0" borderId="0" applyAlignment="1" pivotButton="0" quotePrefix="0" xfId="0">
      <alignment horizontal="center" vertical="bottom"/>
    </xf>
    <xf numFmtId="0" fontId="6" fillId="4" borderId="0" applyAlignment="1" pivotButton="0" quotePrefix="0" xfId="0">
      <alignment horizontal="general" vertical="bottom"/>
    </xf>
    <xf numFmtId="0" fontId="0" fillId="4" borderId="0" applyAlignment="1" pivotButton="0" quotePrefix="0" xfId="0">
      <alignment horizontal="general" vertical="bottom"/>
    </xf>
    <xf numFmtId="165" fontId="5" fillId="0" borderId="0" applyAlignment="1" pivotButton="0" quotePrefix="0" xfId="0">
      <alignment horizontal="center" vertical="bottom"/>
    </xf>
    <xf numFmtId="165" fontId="6" fillId="0" borderId="0" applyAlignment="1" pivotButton="0" quotePrefix="0" xfId="0">
      <alignment horizontal="center" vertical="bottom"/>
    </xf>
    <xf numFmtId="164" fontId="5" fillId="0" borderId="0" applyAlignment="1" pivotButton="0" quotePrefix="0" xfId="0">
      <alignment horizontal="center" vertical="bottom"/>
    </xf>
    <xf numFmtId="164" fontId="6" fillId="0" borderId="0" applyAlignment="1" pivotButton="0" quotePrefix="0" xfId="0">
      <alignment horizontal="center" vertical="bottom"/>
    </xf>
    <xf numFmtId="0" fontId="11" fillId="0" borderId="0" applyAlignment="1" pivotButton="0" quotePrefix="0" xfId="0">
      <alignment horizontal="general" vertical="bottom"/>
    </xf>
    <xf numFmtId="0" fontId="10" fillId="0" borderId="0" applyAlignment="1" pivotButton="0" quotePrefix="0" xfId="0">
      <alignment horizontal="general" vertical="bottom"/>
    </xf>
    <xf numFmtId="0" fontId="10"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6" fillId="2" borderId="0" applyAlignment="1" pivotButton="0" quotePrefix="0" xfId="0">
      <alignment horizontal="general" vertical="top" wrapText="1"/>
    </xf>
    <xf numFmtId="0" fontId="4" fillId="0" borderId="0" applyAlignment="1" pivotButton="0" quotePrefix="0" xfId="0">
      <alignment horizontal="general" vertical="bottom"/>
    </xf>
    <xf numFmtId="0" fontId="7" fillId="0" borderId="0" applyAlignment="1" pivotButton="0" quotePrefix="0" xfId="0">
      <alignment horizontal="general" vertical="bottom"/>
    </xf>
    <xf numFmtId="0" fontId="6" fillId="0" borderId="0" applyAlignment="1" pivotButton="0" quotePrefix="0" xfId="0">
      <alignment horizontal="general" vertical="bottom"/>
    </xf>
    <xf numFmtId="0" fontId="8" fillId="3" borderId="0" applyAlignment="1" pivotButton="0" quotePrefix="0" xfId="0">
      <alignment horizontal="general" vertical="bottom"/>
    </xf>
    <xf numFmtId="0" fontId="5" fillId="0" borderId="0" applyAlignment="1" pivotButton="0" quotePrefix="0" xfId="0">
      <alignment horizontal="general" vertical="bottom"/>
    </xf>
    <xf numFmtId="164" fontId="9" fillId="0" borderId="0" applyAlignment="1" pivotButton="0" quotePrefix="0" xfId="0">
      <alignment horizontal="general" vertical="bottom"/>
    </xf>
    <xf numFmtId="0" fontId="8" fillId="3" borderId="0" applyAlignment="1" pivotButton="0" quotePrefix="0" xfId="0">
      <alignment horizontal="general" vertical="bottom" wrapText="1"/>
    </xf>
    <xf numFmtId="165" fontId="9" fillId="0" borderId="0" applyAlignment="1" pivotButton="0" quotePrefix="0" xfId="0">
      <alignment horizontal="general" vertical="bottom"/>
    </xf>
    <xf numFmtId="0" fontId="9" fillId="0" borderId="0" applyAlignment="1" pivotButton="0" quotePrefix="0" xfId="0">
      <alignment horizontal="general" vertical="bottom"/>
    </xf>
    <xf numFmtId="0" fontId="7" fillId="0" borderId="0" applyAlignment="1" pivotButton="0" quotePrefix="0" xfId="0">
      <alignment horizontal="general" vertical="bottom" wrapText="1"/>
    </xf>
    <xf numFmtId="0" fontId="8" fillId="3" borderId="0" applyAlignment="1" pivotButton="0" quotePrefix="0" xfId="0">
      <alignment horizontal="center" vertical="bottom"/>
    </xf>
    <xf numFmtId="0" fontId="10" fillId="0" borderId="0" applyAlignment="1" pivotButton="0" quotePrefix="0" xfId="0">
      <alignment horizontal="center" vertical="bottom"/>
    </xf>
    <xf numFmtId="0" fontId="9" fillId="0" borderId="0" applyAlignment="1" pivotButton="0" quotePrefix="0" xfId="0">
      <alignment horizontal="center" vertical="bottom"/>
    </xf>
    <xf numFmtId="0" fontId="7" fillId="0" borderId="0" applyAlignment="1" pivotButton="0" quotePrefix="0" xfId="0">
      <alignment horizontal="center" vertical="bottom"/>
    </xf>
    <xf numFmtId="0" fontId="6" fillId="4" borderId="0" applyAlignment="1" pivotButton="0" quotePrefix="0" xfId="0">
      <alignment horizontal="general" vertical="bottom"/>
    </xf>
    <xf numFmtId="0" fontId="0" fillId="4" borderId="0" applyAlignment="1" pivotButton="0" quotePrefix="0" xfId="0">
      <alignment horizontal="general" vertical="bottom"/>
    </xf>
    <xf numFmtId="165" fontId="5" fillId="0" borderId="0" applyAlignment="1" pivotButton="0" quotePrefix="0" xfId="0">
      <alignment horizontal="center" vertical="bottom"/>
    </xf>
    <xf numFmtId="165" fontId="6" fillId="0" borderId="0" applyAlignment="1" pivotButton="0" quotePrefix="0" xfId="0">
      <alignment horizontal="center" vertical="bottom"/>
    </xf>
    <xf numFmtId="164" fontId="5" fillId="0" borderId="0" applyAlignment="1" pivotButton="0" quotePrefix="0" xfId="0">
      <alignment horizontal="center" vertical="bottom"/>
    </xf>
    <xf numFmtId="164" fontId="6" fillId="0" borderId="0" applyAlignment="1" pivotButton="0" quotePrefix="0" xfId="0">
      <alignment horizontal="center" vertical="bottom"/>
    </xf>
    <xf numFmtId="0" fontId="11" fillId="0" borderId="0" applyAlignment="1" pivotButton="0" quotePrefix="0" xfId="0">
      <alignment horizontal="general" vertical="bottom"/>
    </xf>
    <xf numFmtId="0" fontId="10" fillId="0" borderId="0" applyAlignment="1" pivotButton="0" quotePrefix="0" xfId="0">
      <alignment horizontal="general" vertical="bottom"/>
    </xf>
    <xf numFmtId="0" fontId="10"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0E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1A1A1A"/>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2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10" customWidth="1" style="28" min="1" max="1"/>
  </cols>
  <sheetData>
    <row r="1" ht="17.35" customHeight="1" s="29">
      <c r="A1" s="30" t="inlineStr">
        <is>
          <t>AWS 1P Public Sector Symposiums - Pricing Model</t>
        </is>
      </c>
    </row>
    <row r="2" ht="26.85" customHeight="1" s="29">
      <c r="A2" s="31" t="inlineStr">
        <is>
          <t>This workbook mirrors pricing.config.js in the aws-1p-symposiums-proposal site. Same roles, rates, hour formulas, modifiers, and tier presets.</t>
        </is>
      </c>
    </row>
    <row r="3" ht="15" customHeight="1" s="29">
      <c r="A3" s="31" t="n"/>
    </row>
    <row r="4" ht="15" customHeight="1" s="29">
      <c r="A4" s="32" t="inlineStr">
        <is>
          <t>TWO INDEPENDENT AXES</t>
        </is>
      </c>
    </row>
    <row r="5" ht="26.85" customHeight="1" s="29">
      <c r="A5" s="31" t="inlineStr">
        <is>
          <t>Tiers (Lean, Signature, Premium) are service-level scenarios. They are not locations and are priced without reference to any event.</t>
        </is>
      </c>
    </row>
    <row r="6" ht="26.85" customHeight="1" s="29">
      <c r="A6" s="31" t="inlineStr">
        <is>
          <t>Symposiums (London, Ottawa, Canberra) are the three events. Each gets a tier ASSIGNED in the Program builder; the default is our recommendation based on readiness and is fully changeable.</t>
        </is>
      </c>
    </row>
    <row r="7" ht="15" customHeight="1" s="29">
      <c r="A7" s="31" t="n"/>
    </row>
    <row r="8" ht="15" customHeight="1" s="29">
      <c r="A8" s="32" t="inlineStr">
        <is>
          <t>HOW TO USE</t>
        </is>
      </c>
    </row>
    <row r="9" ht="15" customHeight="1" s="29">
      <c r="A9" s="31" t="inlineStr">
        <is>
          <t>Blue cells are inputs you can change. Black cells are formulas; do not overwrite them.</t>
        </is>
      </c>
    </row>
    <row r="10" ht="15" customHeight="1" s="29">
      <c r="A10" s="31" t="inlineStr">
        <is>
          <t>Assumptions sheet: rates, base hours by writing depth, modifiers, tier presets, and symposium readiness notes.</t>
        </is>
      </c>
    </row>
    <row r="11" ht="15" customHeight="1" s="29">
      <c r="A11" s="31" t="inlineStr">
        <is>
          <t>Calculator sheet, top: each tier column prices one service-level scenario. The Custom column is free-form.</t>
        </is>
      </c>
    </row>
    <row r="12" ht="15" customHeight="1" s="29">
      <c r="A12" s="31" t="inlineStr">
        <is>
          <t>Calculator sheet, Program builder: pick a tier for each symposium (dropdown) and the program total sums the three.</t>
        </is>
      </c>
    </row>
    <row r="13" ht="15" customHeight="1" s="29">
      <c r="A13" s="31" t="n"/>
    </row>
    <row r="14" ht="15" customHeight="1" s="29">
      <c r="A14" s="32" t="inlineStr">
        <is>
          <t>FEEDING CHANGES BACK TO THE SITE</t>
        </is>
      </c>
    </row>
    <row r="15" ht="26.85" customHeight="1" s="29">
      <c r="A15" s="31" t="inlineStr">
        <is>
          <t>Every input on the Assumptions sheet lists its config key. To update the live site, change the matching value in pricing.config.js (or send this file back to Elliot and the config gets updated from it).</t>
        </is>
      </c>
    </row>
    <row r="16" ht="15" customHeight="1" s="29">
      <c r="A16" s="31" t="n"/>
    </row>
    <row r="17" ht="15" customHeight="1" s="29">
      <c r="A17" s="32" t="inlineStr">
        <is>
          <t>THE MATH, PER DECK</t>
        </is>
      </c>
    </row>
    <row r="18" ht="15" customHeight="1" s="29">
      <c r="A18" s="31" t="inlineStr">
        <is>
          <t>1. Writing depth sets absolute base hours per level.</t>
        </is>
      </c>
    </row>
    <row r="19" ht="26.85" customHeight="1" s="29">
      <c r="A19" s="31" t="inlineStr">
        <is>
          <t>2. Modifiers add hours: slides above 20 add design time, each speaker adds speaker management, each edit round adds design and writing, each dry run adds PM and writing.</t>
        </is>
      </c>
    </row>
    <row r="20" ht="15" customHeight="1" s="29">
      <c r="A20" s="31" t="inlineStr">
        <is>
          <t>3. Cost = sum of role hours x rates, plus flat on-site day rate x days (0 days = none).</t>
        </is>
      </c>
    </row>
    <row r="21" ht="15" customHeight="1" s="29">
      <c r="A21" s="31" t="inlineStr">
        <is>
          <t>4. Headline prices round UP to the nearest $100. Program total = sum of the three assigned per-deck prices.</t>
        </is>
      </c>
    </row>
    <row r="22" ht="15" customHeight="1" s="29">
      <c r="A22" s="31" t="n"/>
    </row>
    <row r="23" ht="15" customHeight="1" s="29">
      <c r="A23" s="33" t="inlineStr">
        <is>
          <t>ALL NUMBERS ARE PLACEHOLDERS PENDING CONFIRMATION. Estimate, not a quote.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H5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34" customWidth="1" style="28" min="1" max="1"/>
    <col width="16" customWidth="1" style="28" min="2" max="4"/>
    <col width="12" customWidth="1" style="28" min="5" max="7"/>
    <col width="34" customWidth="1" style="28" min="8" max="8"/>
  </cols>
  <sheetData>
    <row r="1" ht="17.35" customHeight="1" s="29">
      <c r="A1" s="34" t="inlineStr">
        <is>
          <t>Pricing Model Assumptions</t>
        </is>
      </c>
    </row>
    <row r="2" ht="15" customHeight="1" s="29">
      <c r="A2" s="35" t="inlineStr">
        <is>
          <t>Blue = editable input. Black = calculated. Config key shows where each value lives in pricing.config.js. On-site days of 0 = no on-site support.</t>
        </is>
      </c>
    </row>
    <row r="4" ht="15" customHeight="1" s="29">
      <c r="A4" s="36" t="inlineStr">
        <is>
          <t>Role rates</t>
        </is>
      </c>
    </row>
    <row r="5" ht="15" customHeight="1" s="29">
      <c r="A5" s="37" t="inlineStr">
        <is>
          <t>Role</t>
        </is>
      </c>
      <c r="B5" s="37" t="inlineStr">
        <is>
          <t>Rate</t>
        </is>
      </c>
      <c r="C5" s="37" t="inlineStr">
        <is>
          <t>Unit</t>
        </is>
      </c>
      <c r="H5" s="37" t="inlineStr">
        <is>
          <t>Config key</t>
        </is>
      </c>
    </row>
    <row r="6" ht="15" customHeight="1" s="29">
      <c r="A6" s="38" t="inlineStr">
        <is>
          <t>Content Strategy / Writing</t>
        </is>
      </c>
      <c r="B6" s="39" t="n">
        <v>185</v>
      </c>
      <c r="C6" s="38" t="inlineStr">
        <is>
          <t>$/hr</t>
        </is>
      </c>
      <c r="H6" s="35" t="inlineStr">
        <is>
          <t>roles[writing].rate</t>
        </is>
      </c>
    </row>
    <row r="7" ht="15" customHeight="1" s="29">
      <c r="A7" s="38" t="inlineStr">
        <is>
          <t>Speaker Management</t>
        </is>
      </c>
      <c r="B7" s="39" t="n">
        <v>185</v>
      </c>
      <c r="C7" s="38" t="inlineStr">
        <is>
          <t>$/hr</t>
        </is>
      </c>
      <c r="H7" s="35" t="inlineStr">
        <is>
          <t>roles[speakerMgmt].rate</t>
        </is>
      </c>
    </row>
    <row r="8" ht="15" customHeight="1" s="29">
      <c r="A8" s="38" t="inlineStr">
        <is>
          <t>Design</t>
        </is>
      </c>
      <c r="B8" s="39" t="n">
        <v>175</v>
      </c>
      <c r="C8" s="38" t="inlineStr">
        <is>
          <t>$/hr</t>
        </is>
      </c>
      <c r="H8" s="35" t="inlineStr">
        <is>
          <t>roles[design].rate</t>
        </is>
      </c>
    </row>
    <row r="9" ht="15" customHeight="1" s="29">
      <c r="A9" s="38" t="inlineStr">
        <is>
          <t>Design Direction</t>
        </is>
      </c>
      <c r="B9" s="39" t="n">
        <v>200</v>
      </c>
      <c r="C9" s="38" t="inlineStr">
        <is>
          <t>$/hr</t>
        </is>
      </c>
      <c r="H9" s="35" t="inlineStr">
        <is>
          <t>roles[designDir].rate</t>
        </is>
      </c>
    </row>
    <row r="10" ht="15" customHeight="1" s="29">
      <c r="A10" s="38" t="inlineStr">
        <is>
          <t>Project Management</t>
        </is>
      </c>
      <c r="B10" s="39" t="n">
        <v>175</v>
      </c>
      <c r="C10" s="38" t="inlineStr">
        <is>
          <t>$/hr</t>
        </is>
      </c>
      <c r="H10" s="35" t="inlineStr">
        <is>
          <t>roles[pm].rate</t>
        </is>
      </c>
    </row>
    <row r="11" ht="15" customHeight="1" s="29">
      <c r="A11" s="38" t="inlineStr">
        <is>
          <t>Quality Control</t>
        </is>
      </c>
      <c r="B11" s="39" t="n">
        <v>100</v>
      </c>
      <c r="C11" s="38" t="inlineStr">
        <is>
          <t>$/hr</t>
        </is>
      </c>
      <c r="H11" s="35" t="inlineStr">
        <is>
          <t>roles[qc].rate</t>
        </is>
      </c>
    </row>
    <row r="12" ht="15" customHeight="1" s="29">
      <c r="A12" s="38" t="inlineStr">
        <is>
          <t>On-Site Support (flat)</t>
        </is>
      </c>
      <c r="B12" s="39" t="n">
        <v>3500</v>
      </c>
      <c r="C12" s="38" t="inlineStr">
        <is>
          <t>$/day</t>
        </is>
      </c>
      <c r="H12" s="35" t="inlineStr">
        <is>
          <t>onSite.dayRate</t>
        </is>
      </c>
    </row>
    <row r="13" ht="15" customHeight="1" s="29">
      <c r="A13" s="38" t="inlineStr">
        <is>
          <t>Round prices UP to nearest</t>
        </is>
      </c>
      <c r="B13" s="39" t="n">
        <v>100</v>
      </c>
      <c r="C13" s="38" t="inlineStr">
        <is>
          <t>$</t>
        </is>
      </c>
      <c r="H13" s="35" t="inlineStr">
        <is>
          <t>roundUpTo</t>
        </is>
      </c>
    </row>
    <row r="16" ht="15" customHeight="1" s="29">
      <c r="A16" s="36" t="inlineStr">
        <is>
          <t>Base hours per deck by writing depth</t>
        </is>
      </c>
    </row>
    <row r="17" ht="15" customHeight="1" s="29">
      <c r="A17" s="35" t="inlineStr">
        <is>
          <t>Absolute base hours per deck for each level, matching depthLevels[].hours in the config.</t>
        </is>
      </c>
    </row>
    <row r="18" ht="39.55" customHeight="1" s="29">
      <c r="A18" s="40" t="inlineStr">
        <is>
          <t>Role</t>
        </is>
      </c>
      <c r="B18" s="40" t="inlineStr">
        <is>
          <t>L1: Deck mods only</t>
        </is>
      </c>
      <c r="C18" s="40" t="inlineStr">
        <is>
          <t>L2: Scripting from framework</t>
        </is>
      </c>
      <c r="D18" s="40" t="inlineStr">
        <is>
          <t>L3: Full narrative + scripting</t>
        </is>
      </c>
      <c r="H18" s="40" t="inlineStr">
        <is>
          <t>Config key</t>
        </is>
      </c>
    </row>
    <row r="19" ht="15" customHeight="1" s="29">
      <c r="A19" s="38" t="inlineStr">
        <is>
          <t>Content Strategy / Writing</t>
        </is>
      </c>
      <c r="B19" s="41" t="n">
        <v>4</v>
      </c>
      <c r="C19" s="41" t="n">
        <v>20</v>
      </c>
      <c r="D19" s="41" t="n">
        <v>48</v>
      </c>
      <c r="H19" s="35" t="inlineStr">
        <is>
          <t>depthLevels[].hours.writing</t>
        </is>
      </c>
    </row>
    <row r="20" ht="15" customHeight="1" s="29">
      <c r="A20" s="38" t="inlineStr">
        <is>
          <t>Speaker Management</t>
        </is>
      </c>
      <c r="B20" s="41" t="n">
        <v>0</v>
      </c>
      <c r="C20" s="41" t="n">
        <v>8</v>
      </c>
      <c r="D20" s="41" t="n">
        <v>22</v>
      </c>
      <c r="H20" s="35" t="inlineStr">
        <is>
          <t>depthLevels[].hours.speakerMgmt</t>
        </is>
      </c>
    </row>
    <row r="21" ht="15" customHeight="1" s="29">
      <c r="A21" s="38" t="inlineStr">
        <is>
          <t>Design</t>
        </is>
      </c>
      <c r="B21" s="41" t="n">
        <v>20</v>
      </c>
      <c r="C21" s="41" t="n">
        <v>20</v>
      </c>
      <c r="D21" s="41" t="n">
        <v>20</v>
      </c>
      <c r="H21" s="35" t="inlineStr">
        <is>
          <t>depthLevels[].hours.design</t>
        </is>
      </c>
    </row>
    <row r="22" ht="15" customHeight="1" s="29">
      <c r="A22" s="38" t="inlineStr">
        <is>
          <t>Design Direction</t>
        </is>
      </c>
      <c r="B22" s="41" t="n">
        <v>3</v>
      </c>
      <c r="C22" s="41" t="n">
        <v>3</v>
      </c>
      <c r="D22" s="41" t="n">
        <v>8</v>
      </c>
      <c r="H22" s="35" t="inlineStr">
        <is>
          <t>depthLevels[].hours.designDir</t>
        </is>
      </c>
    </row>
    <row r="23" ht="15" customHeight="1" s="29">
      <c r="A23" s="38" t="inlineStr">
        <is>
          <t>Project Management</t>
        </is>
      </c>
      <c r="B23" s="41" t="n">
        <v>6</v>
      </c>
      <c r="C23" s="41" t="n">
        <v>6</v>
      </c>
      <c r="D23" s="41" t="n">
        <v>6</v>
      </c>
      <c r="H23" s="35" t="inlineStr">
        <is>
          <t>depthLevels[].hours.pm</t>
        </is>
      </c>
    </row>
    <row r="24" ht="15" customHeight="1" s="29">
      <c r="A24" s="38" t="inlineStr">
        <is>
          <t>Quality Control</t>
        </is>
      </c>
      <c r="B24" s="41" t="n">
        <v>5</v>
      </c>
      <c r="C24" s="41" t="n">
        <v>5</v>
      </c>
      <c r="D24" s="41" t="n">
        <v>5</v>
      </c>
      <c r="H24" s="35" t="inlineStr">
        <is>
          <t>depthLevels[].hours.qc</t>
        </is>
      </c>
    </row>
    <row r="27" ht="15" customHeight="1" s="29">
      <c r="A27" s="36" t="inlineStr">
        <is>
          <t>Modifiers (added on top of base hours)</t>
        </is>
      </c>
    </row>
    <row r="28" ht="15" customHeight="1" s="29">
      <c r="A28" s="37" t="inlineStr">
        <is>
          <t>Modifier</t>
        </is>
      </c>
      <c r="B28" s="37" t="inlineStr">
        <is>
          <t>Value</t>
        </is>
      </c>
      <c r="H28" s="37" t="inlineStr">
        <is>
          <t>Config key</t>
        </is>
      </c>
    </row>
    <row r="29" ht="15" customHeight="1" s="29">
      <c r="A29" s="38" t="inlineStr">
        <is>
          <t>Slides included in base</t>
        </is>
      </c>
      <c r="B29" s="41" t="n">
        <v>20</v>
      </c>
      <c r="H29" s="35" t="inlineStr">
        <is>
          <t>modifiers.slidesIncluded</t>
        </is>
      </c>
    </row>
    <row r="30" ht="15" customHeight="1" s="29">
      <c r="A30" s="38" t="inlineStr">
        <is>
          <t>Design hours per extra slide</t>
        </is>
      </c>
      <c r="B30" s="41" t="n">
        <v>0.6</v>
      </c>
      <c r="H30" s="35" t="inlineStr">
        <is>
          <t>modifiers.designHoursPerExtraSlide</t>
        </is>
      </c>
    </row>
    <row r="31" ht="15" customHeight="1" s="29">
      <c r="A31" s="38" t="inlineStr">
        <is>
          <t>Speaker Mgmt hours per speaker</t>
        </is>
      </c>
      <c r="B31" s="41" t="n">
        <v>3</v>
      </c>
      <c r="H31" s="35" t="inlineStr">
        <is>
          <t>modifiers.speakerMgmtHoursPerSpeaker</t>
        </is>
      </c>
    </row>
    <row r="32" ht="15" customHeight="1" s="29">
      <c r="A32" s="38" t="inlineStr">
        <is>
          <t>Design hours per edit round</t>
        </is>
      </c>
      <c r="B32" s="41" t="n">
        <v>4</v>
      </c>
      <c r="H32" s="35" t="inlineStr">
        <is>
          <t>modifiers.perEditRound.design</t>
        </is>
      </c>
    </row>
    <row r="33" ht="15" customHeight="1" s="29">
      <c r="A33" s="38" t="inlineStr">
        <is>
          <t>Writing hours per edit round</t>
        </is>
      </c>
      <c r="B33" s="41" t="n">
        <v>2</v>
      </c>
      <c r="H33" s="35" t="inlineStr">
        <is>
          <t>modifiers.perEditRound.writing</t>
        </is>
      </c>
    </row>
    <row r="34" ht="15" customHeight="1" s="29">
      <c r="A34" s="38" t="inlineStr">
        <is>
          <t>PM hours per dry run</t>
        </is>
      </c>
      <c r="B34" s="41" t="n">
        <v>4</v>
      </c>
      <c r="H34" s="35" t="inlineStr">
        <is>
          <t>modifiers.perDryRun.pm</t>
        </is>
      </c>
    </row>
    <row r="35" ht="15" customHeight="1" s="29">
      <c r="A35" s="38" t="inlineStr">
        <is>
          <t>Writing hours per dry run</t>
        </is>
      </c>
      <c r="B35" s="41" t="n">
        <v>3</v>
      </c>
      <c r="H35" s="35" t="inlineStr">
        <is>
          <t>modifiers.perDryRun.writing</t>
        </is>
      </c>
    </row>
    <row r="38" ht="15" customHeight="1" s="29">
      <c r="A38" s="36" t="inlineStr">
        <is>
          <t>Tier presets (service levels, independent of any event)</t>
        </is>
      </c>
    </row>
    <row r="39" ht="15" customHeight="1" s="29">
      <c r="A39" s="35" t="inlineStr">
        <is>
          <t>Depth: 1 = Deck mods only, 2 = Scripting from framework, 3 = Full narrative + scripting. On-site days of 0 = off.</t>
        </is>
      </c>
    </row>
    <row r="40" ht="26.85" customHeight="1" s="29">
      <c r="A40" s="40" t="inlineStr">
        <is>
          <t>Tier</t>
        </is>
      </c>
      <c r="B40" s="40" t="inlineStr">
        <is>
          <t>Slides per deck</t>
        </is>
      </c>
      <c r="C40" s="40" t="inlineStr">
        <is>
          <t>Depth (1-3)</t>
        </is>
      </c>
      <c r="D40" s="40" t="inlineStr">
        <is>
          <t>Speakers</t>
        </is>
      </c>
      <c r="E40" s="40" t="inlineStr">
        <is>
          <t>Edit rounds</t>
        </is>
      </c>
      <c r="F40" s="40" t="inlineStr">
        <is>
          <t>Dry runs</t>
        </is>
      </c>
      <c r="G40" s="40" t="inlineStr">
        <is>
          <t>On-site days</t>
        </is>
      </c>
      <c r="H40" s="40" t="inlineStr">
        <is>
          <t>Config key</t>
        </is>
      </c>
    </row>
    <row r="41" ht="15" customHeight="1" s="29">
      <c r="A41" s="38" t="inlineStr">
        <is>
          <t>Lean</t>
        </is>
      </c>
      <c r="B41" s="42" t="n">
        <v>20</v>
      </c>
      <c r="C41" s="42" t="n">
        <v>1</v>
      </c>
      <c r="D41" s="42" t="n">
        <v>3</v>
      </c>
      <c r="E41" s="42" t="n">
        <v>2</v>
      </c>
      <c r="F41" s="42" t="n">
        <v>1</v>
      </c>
      <c r="G41" s="42" t="n">
        <v>0</v>
      </c>
      <c r="H41" s="35" t="inlineStr">
        <is>
          <t>tiers[lean].preset</t>
        </is>
      </c>
    </row>
    <row r="42" ht="15" customHeight="1" s="29">
      <c r="A42" s="38" t="inlineStr">
        <is>
          <t>Signature</t>
        </is>
      </c>
      <c r="B42" s="42" t="n">
        <v>35</v>
      </c>
      <c r="C42" s="42" t="n">
        <v>2</v>
      </c>
      <c r="D42" s="42" t="n">
        <v>4</v>
      </c>
      <c r="E42" s="42" t="n">
        <v>3</v>
      </c>
      <c r="F42" s="42" t="n">
        <v>2</v>
      </c>
      <c r="G42" s="42" t="n">
        <v>0</v>
      </c>
      <c r="H42" s="35" t="inlineStr">
        <is>
          <t>tiers[signature].preset</t>
        </is>
      </c>
    </row>
    <row r="43" ht="15" customHeight="1" s="29">
      <c r="A43" s="38" t="inlineStr">
        <is>
          <t>Premium</t>
        </is>
      </c>
      <c r="B43" s="42" t="n">
        <v>50</v>
      </c>
      <c r="C43" s="42" t="n">
        <v>3</v>
      </c>
      <c r="D43" s="42" t="n">
        <v>5</v>
      </c>
      <c r="E43" s="42" t="n">
        <v>4</v>
      </c>
      <c r="F43" s="42" t="n">
        <v>2</v>
      </c>
      <c r="G43" s="42" t="n">
        <v>2</v>
      </c>
      <c r="H43" s="35" t="inlineStr">
        <is>
          <t>tiers[premium].preset</t>
        </is>
      </c>
    </row>
    <row r="45" ht="15" customHeight="1" s="29">
      <c r="A45" s="36" t="inlineStr">
        <is>
          <t>Symposium readiness (events, independent of any tier)</t>
        </is>
      </c>
    </row>
    <row r="46" ht="15" customHeight="1" s="29">
      <c r="A46" s="35" t="inlineStr">
        <is>
          <t>The client confirmed the events and their readiness. The recommended tier is OUR suggested starting point and is changeable in the Program builder.</t>
        </is>
      </c>
    </row>
    <row r="47" ht="15" customHeight="1" s="29">
      <c r="A47" s="37" t="inlineStr">
        <is>
          <t>Symposium</t>
        </is>
      </c>
      <c r="B47" s="37" t="inlineStr">
        <is>
          <t>Recommended tier</t>
        </is>
      </c>
      <c r="C47" s="37" t="inlineStr">
        <is>
          <t>Readiness (confirmed)</t>
        </is>
      </c>
      <c r="H47" s="37" t="inlineStr">
        <is>
          <t>Config key</t>
        </is>
      </c>
    </row>
    <row r="48" ht="15" customHeight="1" s="29">
      <c r="A48" s="38" t="inlineStr">
        <is>
          <t>London</t>
        </is>
      </c>
      <c r="B48" s="42" t="inlineStr">
        <is>
          <t>Lean</t>
        </is>
      </c>
      <c r="C48" s="38" t="inlineStr">
        <is>
          <t>Content is already written</t>
        </is>
      </c>
      <c r="H48" s="35" t="inlineStr">
        <is>
          <t>symposiums[london].recommendedTier / .readiness</t>
        </is>
      </c>
    </row>
    <row r="49" ht="15" customHeight="1" s="29">
      <c r="A49" s="38" t="inlineStr">
        <is>
          <t>Ottawa</t>
        </is>
      </c>
      <c r="B49" s="42" t="inlineStr">
        <is>
          <t>Signature</t>
        </is>
      </c>
      <c r="C49" s="38" t="inlineStr">
        <is>
          <t>Owner in place; story still needs writing</t>
        </is>
      </c>
      <c r="H49" s="35" t="inlineStr">
        <is>
          <t>symposiums[ottawa].recommendedTier / .readiness</t>
        </is>
      </c>
    </row>
    <row r="50" ht="15" customHeight="1" s="29">
      <c r="A50" s="38" t="inlineStr">
        <is>
          <t>Canberra</t>
        </is>
      </c>
      <c r="B50" s="42" t="inlineStr">
        <is>
          <t>Premium</t>
        </is>
      </c>
      <c r="C50" s="38" t="inlineStr">
        <is>
          <t>Starting from scratch</t>
        </is>
      </c>
      <c r="H50" s="35" t="inlineStr">
        <is>
          <t>symposiums[canberra].recommendedTier / .readiness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4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34" customWidth="1" style="28" min="1" max="1"/>
    <col width="14" customWidth="1" style="28" min="2" max="5"/>
    <col width="16" customWidth="1" style="28" min="6" max="6"/>
  </cols>
  <sheetData>
    <row r="1" ht="17.35" customHeight="1" s="29">
      <c r="A1" s="34" t="inlineStr">
        <is>
          <t>Service-Level Pricing Scenarios</t>
        </is>
      </c>
    </row>
    <row r="2" ht="25.5" customHeight="1" s="29">
      <c r="A2" s="43" t="inlineStr">
        <is>
          <t>Each column prices one TIER, independent of any event. Lean / Signature / Premium pull from the presets on Assumptions; Custom is free-form (blue). Assign tiers to events in the Program builder below. Estimate, not a quote.</t>
        </is>
      </c>
    </row>
    <row r="4" ht="15" customHeight="1" s="29">
      <c r="A4" s="44" t="n"/>
      <c r="B4" s="44" t="inlineStr">
        <is>
          <t>Lean</t>
        </is>
      </c>
      <c r="C4" s="44" t="inlineStr">
        <is>
          <t>Signature</t>
        </is>
      </c>
      <c r="D4" s="44" t="inlineStr">
        <is>
          <t>Premium</t>
        </is>
      </c>
      <c r="E4" s="44" t="inlineStr">
        <is>
          <t>Custom</t>
        </is>
      </c>
    </row>
    <row r="5" ht="15" customHeight="1" s="29">
      <c r="A5" s="38" t="inlineStr">
        <is>
          <t>Slides per deck</t>
        </is>
      </c>
      <c r="B5" s="45">
        <f>INDEX(Assumptions!$B$41:$B$43,MATCH(B$4,Assumptions!$A$41:$A$43,0))</f>
        <v/>
      </c>
      <c r="C5" s="45">
        <f>INDEX(Assumptions!$B$41:$B$43,MATCH(C$4,Assumptions!$A$41:$A$43,0))</f>
        <v/>
      </c>
      <c r="D5" s="45">
        <f>INDEX(Assumptions!$B$41:$B$43,MATCH(D$4,Assumptions!$A$41:$A$43,0))</f>
        <v/>
      </c>
      <c r="E5" s="46" t="n">
        <v>35</v>
      </c>
    </row>
    <row r="6" ht="15" customHeight="1" s="29">
      <c r="A6" s="38" t="inlineStr">
        <is>
          <t>Writing depth (1-3)</t>
        </is>
      </c>
      <c r="B6" s="45">
        <f>INDEX(Assumptions!$C$41:$C$43,MATCH(B$4,Assumptions!$A$41:$A$43,0))</f>
        <v/>
      </c>
      <c r="C6" s="45">
        <f>INDEX(Assumptions!$C$41:$C$43,MATCH(C$4,Assumptions!$A$41:$A$43,0))</f>
        <v/>
      </c>
      <c r="D6" s="45">
        <f>INDEX(Assumptions!$C$41:$C$43,MATCH(D$4,Assumptions!$A$41:$A$43,0))</f>
        <v/>
      </c>
      <c r="E6" s="46" t="n">
        <v>2</v>
      </c>
    </row>
    <row r="7" ht="15" customHeight="1" s="29">
      <c r="A7" s="38" t="inlineStr">
        <is>
          <t>Depth level</t>
        </is>
      </c>
      <c r="B7" s="47">
        <f>CHOOSE(B6,"Deck mods only","Scripting","Full narrative")</f>
        <v/>
      </c>
      <c r="C7" s="47">
        <f>CHOOSE(C6,"Deck mods only","Scripting","Full narrative")</f>
        <v/>
      </c>
      <c r="D7" s="47">
        <f>CHOOSE(D6,"Deck mods only","Scripting","Full narrative")</f>
        <v/>
      </c>
      <c r="E7" s="47">
        <f>CHOOSE(E6,"Deck mods only","Scripting","Full narrative")</f>
        <v/>
      </c>
    </row>
    <row r="8" ht="15" customHeight="1" s="29">
      <c r="A8" s="38" t="inlineStr">
        <is>
          <t>Speakers per keynote</t>
        </is>
      </c>
      <c r="B8" s="45">
        <f>INDEX(Assumptions!$D$41:$D$43,MATCH(B$4,Assumptions!$A$41:$A$43,0))</f>
        <v/>
      </c>
      <c r="C8" s="45">
        <f>INDEX(Assumptions!$D$41:$D$43,MATCH(C$4,Assumptions!$A$41:$A$43,0))</f>
        <v/>
      </c>
      <c r="D8" s="45">
        <f>INDEX(Assumptions!$D$41:$D$43,MATCH(D$4,Assumptions!$A$41:$A$43,0))</f>
        <v/>
      </c>
      <c r="E8" s="46" t="n">
        <v>4</v>
      </c>
    </row>
    <row r="9" ht="15" customHeight="1" s="29">
      <c r="A9" s="38" t="inlineStr">
        <is>
          <t>Rounds of edits</t>
        </is>
      </c>
      <c r="B9" s="45">
        <f>INDEX(Assumptions!$E$41:$E$43,MATCH(B$4,Assumptions!$A$41:$A$43,0))</f>
        <v/>
      </c>
      <c r="C9" s="45">
        <f>INDEX(Assumptions!$E$41:$E$43,MATCH(C$4,Assumptions!$A$41:$A$43,0))</f>
        <v/>
      </c>
      <c r="D9" s="45">
        <f>INDEX(Assumptions!$E$41:$E$43,MATCH(D$4,Assumptions!$A$41:$A$43,0))</f>
        <v/>
      </c>
      <c r="E9" s="46" t="n">
        <v>3</v>
      </c>
    </row>
    <row r="10" ht="15" customHeight="1" s="29">
      <c r="A10" s="38" t="inlineStr">
        <is>
          <t>Dry runs managed</t>
        </is>
      </c>
      <c r="B10" s="45">
        <f>INDEX(Assumptions!$F$41:$F$43,MATCH(B$4,Assumptions!$A$41:$A$43,0))</f>
        <v/>
      </c>
      <c r="C10" s="45">
        <f>INDEX(Assumptions!$F$41:$F$43,MATCH(C$4,Assumptions!$A$41:$A$43,0))</f>
        <v/>
      </c>
      <c r="D10" s="45">
        <f>INDEX(Assumptions!$F$41:$F$43,MATCH(D$4,Assumptions!$A$41:$A$43,0))</f>
        <v/>
      </c>
      <c r="E10" s="46" t="n">
        <v>2</v>
      </c>
    </row>
    <row r="11" ht="15" customHeight="1" s="29">
      <c r="A11" s="38" t="inlineStr">
        <is>
          <t>On-site days (0 = off)</t>
        </is>
      </c>
      <c r="B11" s="45">
        <f>INDEX(Assumptions!$G$41:$G$43,MATCH(B$4,Assumptions!$A$41:$A$43,0))</f>
        <v/>
      </c>
      <c r="C11" s="45">
        <f>INDEX(Assumptions!$G$41:$G$43,MATCH(C$4,Assumptions!$A$41:$A$43,0))</f>
        <v/>
      </c>
      <c r="D11" s="45">
        <f>INDEX(Assumptions!$G$41:$G$43,MATCH(D$4,Assumptions!$A$41:$A$43,0))</f>
        <v/>
      </c>
      <c r="E11" s="46" t="n">
        <v>1</v>
      </c>
    </row>
    <row r="13" ht="15" customHeight="1" s="29">
      <c r="A13" s="48" t="inlineStr">
        <is>
          <t>Hours by role</t>
        </is>
      </c>
      <c r="B13" s="49" t="n"/>
      <c r="C13" s="49" t="n"/>
      <c r="D13" s="49" t="n"/>
      <c r="E13" s="49" t="n"/>
    </row>
    <row r="14" ht="15" customHeight="1" s="29">
      <c r="A14" s="38" t="inlineStr">
        <is>
          <t>Content Strategy / Writing</t>
        </is>
      </c>
      <c r="B14" s="50">
        <f>INDEX(Assumptions!$B$19:$D$19,B6)+Assumptions!$B$33*B9+Assumptions!$B$35*B10</f>
        <v/>
      </c>
      <c r="C14" s="50">
        <f>INDEX(Assumptions!$B$19:$D$19,C6)+Assumptions!$B$33*C9+Assumptions!$B$35*C10</f>
        <v/>
      </c>
      <c r="D14" s="50">
        <f>INDEX(Assumptions!$B$19:$D$19,D6)+Assumptions!$B$33*D9+Assumptions!$B$35*D10</f>
        <v/>
      </c>
      <c r="E14" s="50">
        <f>INDEX(Assumptions!$B$19:$D$19,E6)+Assumptions!$B$33*E9+Assumptions!$B$35*E10</f>
        <v/>
      </c>
    </row>
    <row r="15" ht="15" customHeight="1" s="29">
      <c r="A15" s="38" t="inlineStr">
        <is>
          <t>Speaker Management</t>
        </is>
      </c>
      <c r="B15" s="50">
        <f>INDEX(Assumptions!$B$20:$D$20,B6)+Assumptions!$B$31*B8</f>
        <v/>
      </c>
      <c r="C15" s="50">
        <f>INDEX(Assumptions!$B$20:$D$20,C6)+Assumptions!$B$31*C8</f>
        <v/>
      </c>
      <c r="D15" s="50">
        <f>INDEX(Assumptions!$B$20:$D$20,D6)+Assumptions!$B$31*D8</f>
        <v/>
      </c>
      <c r="E15" s="50">
        <f>INDEX(Assumptions!$B$20:$D$20,E6)+Assumptions!$B$31*E8</f>
        <v/>
      </c>
    </row>
    <row r="16" ht="15" customHeight="1" s="29">
      <c r="A16" s="38" t="inlineStr">
        <is>
          <t>Design</t>
        </is>
      </c>
      <c r="B16" s="50">
        <f>INDEX(Assumptions!$B$21:$D$21,B6)+Assumptions!$B$30*MAX(0,B5-Assumptions!$B$29)+Assumptions!$B$32*B9</f>
        <v/>
      </c>
      <c r="C16" s="50">
        <f>INDEX(Assumptions!$B$21:$D$21,C6)+Assumptions!$B$30*MAX(0,C5-Assumptions!$B$29)+Assumptions!$B$32*C9</f>
        <v/>
      </c>
      <c r="D16" s="50">
        <f>INDEX(Assumptions!$B$21:$D$21,D6)+Assumptions!$B$30*MAX(0,D5-Assumptions!$B$29)+Assumptions!$B$32*D9</f>
        <v/>
      </c>
      <c r="E16" s="50">
        <f>INDEX(Assumptions!$B$21:$D$21,E6)+Assumptions!$B$30*MAX(0,E5-Assumptions!$B$29)+Assumptions!$B$32*E9</f>
        <v/>
      </c>
    </row>
    <row r="17" ht="15" customHeight="1" s="29">
      <c r="A17" s="38" t="inlineStr">
        <is>
          <t>Design Direction</t>
        </is>
      </c>
      <c r="B17" s="50">
        <f>INDEX(Assumptions!$B$22:$D$22,B6)</f>
        <v/>
      </c>
      <c r="C17" s="50">
        <f>INDEX(Assumptions!$B$22:$D$22,C6)</f>
        <v/>
      </c>
      <c r="D17" s="50">
        <f>INDEX(Assumptions!$B$22:$D$22,D6)</f>
        <v/>
      </c>
      <c r="E17" s="50">
        <f>INDEX(Assumptions!$B$22:$D$22,E6)</f>
        <v/>
      </c>
    </row>
    <row r="18" ht="15" customHeight="1" s="29">
      <c r="A18" s="38" t="inlineStr">
        <is>
          <t>Project Management</t>
        </is>
      </c>
      <c r="B18" s="50">
        <f>INDEX(Assumptions!$B$23:$D$23,B6)+Assumptions!$B$34*B10</f>
        <v/>
      </c>
      <c r="C18" s="50">
        <f>INDEX(Assumptions!$B$23:$D$23,C6)+Assumptions!$B$34*C10</f>
        <v/>
      </c>
      <c r="D18" s="50">
        <f>INDEX(Assumptions!$B$23:$D$23,D6)+Assumptions!$B$34*D10</f>
        <v/>
      </c>
      <c r="E18" s="50">
        <f>INDEX(Assumptions!$B$23:$D$23,E6)+Assumptions!$B$34*E10</f>
        <v/>
      </c>
    </row>
    <row r="19" ht="15" customHeight="1" s="29">
      <c r="A19" s="38" t="inlineStr">
        <is>
          <t>Quality Control</t>
        </is>
      </c>
      <c r="B19" s="50">
        <f>INDEX(Assumptions!$B$24:$D$24,B6)</f>
        <v/>
      </c>
      <c r="C19" s="50">
        <f>INDEX(Assumptions!$B$24:$D$24,C6)</f>
        <v/>
      </c>
      <c r="D19" s="50">
        <f>INDEX(Assumptions!$B$24:$D$24,D6)</f>
        <v/>
      </c>
      <c r="E19" s="50">
        <f>INDEX(Assumptions!$B$24:$D$24,E6)</f>
        <v/>
      </c>
    </row>
    <row r="20" ht="15" customHeight="1" s="29">
      <c r="A20" s="36" t="inlineStr">
        <is>
          <t>Total role hours</t>
        </is>
      </c>
      <c r="B20" s="51">
        <f>SUM(B14:B19)</f>
        <v/>
      </c>
      <c r="C20" s="51">
        <f>SUM(C14:C19)</f>
        <v/>
      </c>
      <c r="D20" s="51">
        <f>SUM(D14:D19)</f>
        <v/>
      </c>
      <c r="E20" s="51">
        <f>SUM(E14:E19)</f>
        <v/>
      </c>
    </row>
    <row r="22" ht="15" customHeight="1" s="29">
      <c r="A22" s="48" t="inlineStr">
        <is>
          <t>Cost by role</t>
        </is>
      </c>
      <c r="B22" s="49" t="n"/>
      <c r="C22" s="49" t="n"/>
      <c r="D22" s="49" t="n"/>
      <c r="E22" s="49" t="n"/>
    </row>
    <row r="23" ht="15" customHeight="1" s="29">
      <c r="A23" s="38" t="inlineStr">
        <is>
          <t>Content Strategy / Writing</t>
        </is>
      </c>
      <c r="B23" s="52">
        <f>B14*Assumptions!$B$6</f>
        <v/>
      </c>
      <c r="C23" s="52">
        <f>C14*Assumptions!$B$6</f>
        <v/>
      </c>
      <c r="D23" s="52">
        <f>D14*Assumptions!$B$6</f>
        <v/>
      </c>
      <c r="E23" s="52">
        <f>E14*Assumptions!$B$6</f>
        <v/>
      </c>
    </row>
    <row r="24" ht="15" customHeight="1" s="29">
      <c r="A24" s="38" t="inlineStr">
        <is>
          <t>Speaker Management</t>
        </is>
      </c>
      <c r="B24" s="52">
        <f>B15*Assumptions!$B$7</f>
        <v/>
      </c>
      <c r="C24" s="52">
        <f>C15*Assumptions!$B$7</f>
        <v/>
      </c>
      <c r="D24" s="52">
        <f>D15*Assumptions!$B$7</f>
        <v/>
      </c>
      <c r="E24" s="52">
        <f>E15*Assumptions!$B$7</f>
        <v/>
      </c>
    </row>
    <row r="25" ht="15" customHeight="1" s="29">
      <c r="A25" s="38" t="inlineStr">
        <is>
          <t>Design</t>
        </is>
      </c>
      <c r="B25" s="52">
        <f>B16*Assumptions!$B$8</f>
        <v/>
      </c>
      <c r="C25" s="52">
        <f>C16*Assumptions!$B$8</f>
        <v/>
      </c>
      <c r="D25" s="52">
        <f>D16*Assumptions!$B$8</f>
        <v/>
      </c>
      <c r="E25" s="52">
        <f>E16*Assumptions!$B$8</f>
        <v/>
      </c>
    </row>
    <row r="26" ht="15" customHeight="1" s="29">
      <c r="A26" s="38" t="inlineStr">
        <is>
          <t>Design Direction</t>
        </is>
      </c>
      <c r="B26" s="52">
        <f>B17*Assumptions!$B$9</f>
        <v/>
      </c>
      <c r="C26" s="52">
        <f>C17*Assumptions!$B$9</f>
        <v/>
      </c>
      <c r="D26" s="52">
        <f>D17*Assumptions!$B$9</f>
        <v/>
      </c>
      <c r="E26" s="52">
        <f>E17*Assumptions!$B$9</f>
        <v/>
      </c>
    </row>
    <row r="27" ht="15" customHeight="1" s="29">
      <c r="A27" s="38" t="inlineStr">
        <is>
          <t>Project Management</t>
        </is>
      </c>
      <c r="B27" s="52">
        <f>B18*Assumptions!$B$10</f>
        <v/>
      </c>
      <c r="C27" s="52">
        <f>C18*Assumptions!$B$10</f>
        <v/>
      </c>
      <c r="D27" s="52">
        <f>D18*Assumptions!$B$10</f>
        <v/>
      </c>
      <c r="E27" s="52">
        <f>E18*Assumptions!$B$10</f>
        <v/>
      </c>
    </row>
    <row r="28" ht="15" customHeight="1" s="29">
      <c r="A28" s="38" t="inlineStr">
        <is>
          <t>Quality Control</t>
        </is>
      </c>
      <c r="B28" s="52">
        <f>B19*Assumptions!$B$11</f>
        <v/>
      </c>
      <c r="C28" s="52">
        <f>C19*Assumptions!$B$11</f>
        <v/>
      </c>
      <c r="D28" s="52">
        <f>D19*Assumptions!$B$11</f>
        <v/>
      </c>
      <c r="E28" s="52">
        <f>E19*Assumptions!$B$11</f>
        <v/>
      </c>
    </row>
    <row r="29" ht="15" customHeight="1" s="29">
      <c r="A29" s="36" t="inlineStr">
        <is>
          <t>Role subtotal</t>
        </is>
      </c>
      <c r="B29" s="53">
        <f>SUM(B23:B28)</f>
        <v/>
      </c>
      <c r="C29" s="53">
        <f>SUM(C23:C28)</f>
        <v/>
      </c>
      <c r="D29" s="53">
        <f>SUM(D23:D28)</f>
        <v/>
      </c>
      <c r="E29" s="53">
        <f>SUM(E23:E28)</f>
        <v/>
      </c>
    </row>
    <row r="30" ht="15" customHeight="1" s="29">
      <c r="A30" s="38" t="inlineStr">
        <is>
          <t>On-site support (flat)</t>
        </is>
      </c>
      <c r="B30" s="52">
        <f>B11*Assumptions!$B$12</f>
        <v/>
      </c>
      <c r="C30" s="52">
        <f>C11*Assumptions!$B$12</f>
        <v/>
      </c>
      <c r="D30" s="52">
        <f>D11*Assumptions!$B$12</f>
        <v/>
      </c>
      <c r="E30" s="52">
        <f>E11*Assumptions!$B$12</f>
        <v/>
      </c>
    </row>
    <row r="31" ht="15" customHeight="1" s="29">
      <c r="A31" s="36" t="inlineStr">
        <is>
          <t>Per-deck total (exact)</t>
        </is>
      </c>
      <c r="B31" s="53">
        <f>B29+B30</f>
        <v/>
      </c>
      <c r="C31" s="53">
        <f>C29+C30</f>
        <v/>
      </c>
      <c r="D31" s="53">
        <f>D29+D30</f>
        <v/>
      </c>
      <c r="E31" s="53">
        <f>E29+E30</f>
        <v/>
      </c>
    </row>
    <row r="32" ht="15" customHeight="1" s="29">
      <c r="A32" s="36" t="inlineStr">
        <is>
          <t>Per-deck total (rounded up)</t>
        </is>
      </c>
      <c r="B32" s="53">
        <f>CEILING(B31,Assumptions!$B$13)</f>
        <v/>
      </c>
      <c r="C32" s="53">
        <f>CEILING(C31,Assumptions!$B$13)</f>
        <v/>
      </c>
      <c r="D32" s="53">
        <f>CEILING(D31,Assumptions!$B$13)</f>
        <v/>
      </c>
      <c r="E32" s="53">
        <f>CEILING(E31,Assumptions!$B$13)</f>
        <v/>
      </c>
    </row>
    <row r="35" ht="15" customHeight="1" s="29">
      <c r="A35" s="54" t="inlineStr">
        <is>
          <t>Program Builder</t>
        </is>
      </c>
    </row>
    <row r="36" ht="25.5" customHeight="1" s="29">
      <c r="A36" s="43" t="inlineStr">
        <is>
          <t>Assign a service level to each event. The selected tier defaults to our recommendation (readiness-based) and is changeable: any event can take any tier, including Custom.</t>
        </is>
      </c>
    </row>
    <row r="37" ht="26.85" customHeight="1" s="29">
      <c r="A37" s="40" t="inlineStr">
        <is>
          <t>Symposium</t>
        </is>
      </c>
      <c r="B37" s="40" t="inlineStr">
        <is>
          <t>Readiness (confirmed)</t>
        </is>
      </c>
      <c r="C37" s="40" t="inlineStr">
        <is>
          <t>Recommended tier</t>
        </is>
      </c>
      <c r="D37" s="40" t="inlineStr">
        <is>
          <t>Selected tier</t>
        </is>
      </c>
      <c r="E37" s="40" t="inlineStr">
        <is>
          <t>Per-deck price</t>
        </is>
      </c>
    </row>
    <row r="38" ht="39.55" customHeight="1" s="29">
      <c r="A38" s="55">
        <f>Assumptions!A48</f>
        <v/>
      </c>
      <c r="B38" s="56">
        <f>Assumptions!C48</f>
        <v/>
      </c>
      <c r="C38" s="55">
        <f>Assumptions!B48</f>
        <v/>
      </c>
      <c r="D38" s="46" t="inlineStr">
        <is>
          <t>Lean</t>
        </is>
      </c>
      <c r="E38" s="52">
        <f>INDEX($B$32:$E$32,MATCH(D38,$B$4:$E$4,0))</f>
        <v/>
      </c>
    </row>
    <row r="39" ht="52.2" customHeight="1" s="29">
      <c r="A39" s="55">
        <f>Assumptions!A49</f>
        <v/>
      </c>
      <c r="B39" s="56">
        <f>Assumptions!C49</f>
        <v/>
      </c>
      <c r="C39" s="55">
        <f>Assumptions!B49</f>
        <v/>
      </c>
      <c r="D39" s="46" t="inlineStr">
        <is>
          <t>Signature</t>
        </is>
      </c>
      <c r="E39" s="52">
        <f>INDEX($B$32:$E$32,MATCH(D39,$B$4:$E$4,0))</f>
        <v/>
      </c>
    </row>
    <row r="40" ht="26.85" customHeight="1" s="29">
      <c r="A40" s="55">
        <f>Assumptions!A50</f>
        <v/>
      </c>
      <c r="B40" s="56">
        <f>Assumptions!C50</f>
        <v/>
      </c>
      <c r="C40" s="55">
        <f>Assumptions!B50</f>
        <v/>
      </c>
      <c r="D40" s="46" t="inlineStr">
        <is>
          <t>Premium</t>
        </is>
      </c>
      <c r="E40" s="52">
        <f>INDEX($B$32:$E$32,MATCH(D40,$B$4:$E$4,0))</f>
        <v/>
      </c>
    </row>
    <row r="41" ht="15" customHeight="1" s="29">
      <c r="A41" s="36" t="inlineStr">
        <is>
          <t>Program total</t>
        </is>
      </c>
      <c r="E41" s="53">
        <f>SUM(E38:E40)</f>
        <v/>
      </c>
    </row>
    <row r="42" ht="15" customHeight="1" s="29">
      <c r="A42" s="35" t="inlineStr">
        <is>
          <t>If multiple events select Custom, they share the single Custom scenario column above.</t>
        </is>
      </c>
    </row>
  </sheetData>
  <dataValidations count="1">
    <dataValidation sqref="D38:D40" showDropDown="0" showInputMessage="0" showErrorMessage="0" allowBlank="0" type="list" errorStyle="stop" operator="between">
      <formula1>"Lean,Signature,Premium,Custom"</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2026-06-11T21:49:30Z</dcterms:created>
  <dcterms:modified xsi:type="dcterms:W3CDTF">2026-06-11T21:53:59Z</dcterms:modified>
  <cp:revision>0</cp:revision>
</cp:coreProperties>
</file>